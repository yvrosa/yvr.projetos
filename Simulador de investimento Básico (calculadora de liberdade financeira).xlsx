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/>
  <mc:AlternateContent xmlns:mc="http://schemas.openxmlformats.org/markup-compatibility/2006">
    <mc:Choice Requires="x15">
      <x15ac:absPath xmlns:x15ac="http://schemas.microsoft.com/office/spreadsheetml/2010/11/ac" url="C:\Users\YVR\Desktop\YVR\Empresa\Planilhas\"/>
    </mc:Choice>
  </mc:AlternateContent>
  <xr:revisionPtr revIDLastSave="0" documentId="13_ncr:1_{14B5CA6E-E51F-4BD4-A236-C2B6312F4769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Premissas" sheetId="1" r:id="rId1"/>
    <sheet name="Apoio" sheetId="3" r:id="rId2"/>
  </sheets>
  <definedNames>
    <definedName name="Aporte_mensal">Premissas!$G$12</definedName>
    <definedName name="DY_mensal">Premissas!$G$14</definedName>
    <definedName name="Idade">Apoio!$A$2</definedName>
    <definedName name="Idade_atual">Premissas!$G$10</definedName>
    <definedName name="Idade_liberdade">Premissas!$A$26</definedName>
    <definedName name="Idade3">Apoio!$A$3</definedName>
    <definedName name="Inflaçao_anual">Premissas!$G$15</definedName>
    <definedName name="Patrimonio_inicial">Premissas!$G$11</definedName>
    <definedName name="Patrimônio_inicial">Premissas!$G$11</definedName>
    <definedName name="Rendimentos">Apoio!$D$2</definedName>
    <definedName name="Rentabilidade_desejada">Premissas!$G$16</definedName>
    <definedName name="Rentabilidade_mensal">Premissas!$G$13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3" l="1"/>
  <c r="H3" i="3" s="1"/>
  <c r="F4" i="3"/>
  <c r="H4" i="3" s="1"/>
  <c r="F5" i="3"/>
  <c r="H5" i="3" s="1"/>
  <c r="F6" i="3"/>
  <c r="H6" i="3" s="1"/>
  <c r="F7" i="3"/>
  <c r="H7" i="3" s="1"/>
  <c r="F8" i="3"/>
  <c r="H8" i="3" s="1"/>
  <c r="F9" i="3"/>
  <c r="H9" i="3" s="1"/>
  <c r="F10" i="3"/>
  <c r="H10" i="3" s="1"/>
  <c r="F11" i="3"/>
  <c r="H11" i="3" s="1"/>
  <c r="F12" i="3"/>
  <c r="H12" i="3" s="1"/>
  <c r="F13" i="3"/>
  <c r="H13" i="3" s="1"/>
  <c r="F14" i="3"/>
  <c r="H14" i="3" s="1"/>
  <c r="F15" i="3"/>
  <c r="H15" i="3" s="1"/>
  <c r="F16" i="3"/>
  <c r="H16" i="3" s="1"/>
  <c r="F17" i="3"/>
  <c r="H17" i="3" s="1"/>
  <c r="F18" i="3"/>
  <c r="H18" i="3" s="1"/>
  <c r="F19" i="3"/>
  <c r="H19" i="3" s="1"/>
  <c r="F20" i="3"/>
  <c r="F21" i="3"/>
  <c r="H21" i="3" s="1"/>
  <c r="F22" i="3"/>
  <c r="H22" i="3" s="1"/>
  <c r="F23" i="3"/>
  <c r="H23" i="3" s="1"/>
  <c r="F24" i="3"/>
  <c r="H24" i="3" s="1"/>
  <c r="F25" i="3"/>
  <c r="H25" i="3" s="1"/>
  <c r="F26" i="3"/>
  <c r="H26" i="3" s="1"/>
  <c r="F2" i="3"/>
  <c r="H2" i="3" s="1"/>
  <c r="C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D27" i="3" s="1"/>
  <c r="B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D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H20" i="3"/>
  <c r="E2" i="3" l="1"/>
  <c r="G2" i="3" s="1"/>
  <c r="E26" i="3"/>
  <c r="G26" i="3" s="1"/>
  <c r="E20" i="3"/>
  <c r="G20" i="3" s="1"/>
  <c r="E12" i="3"/>
  <c r="G12" i="3" s="1"/>
  <c r="E4" i="3"/>
  <c r="G4" i="3" s="1"/>
  <c r="E27" i="3"/>
  <c r="E19" i="3"/>
  <c r="G19" i="3" s="1"/>
  <c r="E11" i="3"/>
  <c r="G11" i="3" s="1"/>
  <c r="E3" i="3"/>
  <c r="G3" i="3" s="1"/>
  <c r="E10" i="3"/>
  <c r="G10" i="3" s="1"/>
  <c r="E18" i="3"/>
  <c r="G18" i="3" s="1"/>
  <c r="E24" i="3"/>
  <c r="G24" i="3" s="1"/>
  <c r="E16" i="3"/>
  <c r="G16" i="3" s="1"/>
  <c r="E8" i="3"/>
  <c r="G8" i="3" s="1"/>
  <c r="E17" i="3"/>
  <c r="G17" i="3" s="1"/>
  <c r="E9" i="3"/>
  <c r="G9" i="3" s="1"/>
  <c r="E25" i="3"/>
  <c r="G25" i="3" s="1"/>
  <c r="E22" i="3"/>
  <c r="G22" i="3" s="1"/>
  <c r="E14" i="3"/>
  <c r="G14" i="3" s="1"/>
  <c r="E6" i="3"/>
  <c r="G6" i="3" s="1"/>
  <c r="E21" i="3"/>
  <c r="G21" i="3" s="1"/>
  <c r="E5" i="3"/>
  <c r="G5" i="3" s="1"/>
  <c r="E13" i="3"/>
  <c r="G13" i="3" s="1"/>
  <c r="E15" i="3"/>
  <c r="G15" i="3" s="1"/>
  <c r="E7" i="3"/>
  <c r="G7" i="3" s="1"/>
  <c r="E23" i="3"/>
  <c r="G23" i="3" s="1"/>
  <c r="G27" i="3" l="1"/>
  <c r="F27" i="3"/>
  <c r="H27" i="3" s="1"/>
  <c r="C28" i="3"/>
  <c r="D28" i="3" l="1"/>
  <c r="E28" i="3" s="1"/>
  <c r="G28" i="3" l="1"/>
  <c r="F28" i="3"/>
  <c r="H28" i="3" s="1"/>
  <c r="C29" i="3"/>
  <c r="D29" i="3" l="1"/>
  <c r="E29" i="3" s="1"/>
  <c r="G29" i="3" l="1"/>
  <c r="F29" i="3"/>
  <c r="H29" i="3" s="1"/>
  <c r="C30" i="3"/>
  <c r="D30" i="3" l="1"/>
  <c r="E30" i="3" s="1"/>
  <c r="G30" i="3" l="1"/>
  <c r="F30" i="3"/>
  <c r="H30" i="3" s="1"/>
  <c r="C31" i="3"/>
  <c r="D31" i="3" l="1"/>
  <c r="E31" i="3" s="1"/>
  <c r="G31" i="3" l="1"/>
  <c r="F31" i="3"/>
  <c r="H31" i="3" s="1"/>
  <c r="C32" i="3"/>
  <c r="D32" i="3" l="1"/>
  <c r="E32" i="3" s="1"/>
  <c r="G32" i="3" l="1"/>
  <c r="F32" i="3"/>
  <c r="H32" i="3" s="1"/>
  <c r="C33" i="3"/>
  <c r="D33" i="3" l="1"/>
  <c r="E33" i="3" s="1"/>
  <c r="G33" i="3" l="1"/>
  <c r="F33" i="3"/>
  <c r="H33" i="3" s="1"/>
  <c r="C34" i="3"/>
  <c r="D34" i="3" s="1"/>
  <c r="E34" i="3" s="1"/>
  <c r="G34" i="3" l="1"/>
  <c r="F34" i="3"/>
  <c r="H34" i="3" s="1"/>
  <c r="C35" i="3"/>
  <c r="D35" i="3" s="1"/>
  <c r="E35" i="3" s="1"/>
  <c r="G35" i="3" l="1"/>
  <c r="F35" i="3"/>
  <c r="H35" i="3" s="1"/>
  <c r="C36" i="3"/>
  <c r="D36" i="3" s="1"/>
  <c r="E36" i="3" s="1"/>
  <c r="G36" i="3" l="1"/>
  <c r="F36" i="3"/>
  <c r="H36" i="3" s="1"/>
  <c r="C37" i="3"/>
  <c r="D37" i="3" s="1"/>
  <c r="E37" i="3" s="1"/>
  <c r="G37" i="3" l="1"/>
  <c r="F37" i="3"/>
  <c r="H37" i="3" s="1"/>
  <c r="C38" i="3"/>
  <c r="D38" i="3" s="1"/>
  <c r="E38" i="3" s="1"/>
  <c r="F38" i="3" l="1"/>
  <c r="H38" i="3" s="1"/>
  <c r="G38" i="3"/>
  <c r="C39" i="3"/>
  <c r="D39" i="3" s="1"/>
  <c r="E39" i="3" s="1"/>
  <c r="F39" i="3" l="1"/>
  <c r="H39" i="3" s="1"/>
  <c r="G39" i="3"/>
  <c r="C40" i="3"/>
  <c r="D40" i="3" s="1"/>
  <c r="E40" i="3" s="1"/>
  <c r="F40" i="3" l="1"/>
  <c r="H40" i="3" s="1"/>
  <c r="G40" i="3"/>
  <c r="C41" i="3"/>
  <c r="D41" i="3" s="1"/>
  <c r="E41" i="3" s="1"/>
  <c r="F41" i="3" l="1"/>
  <c r="H41" i="3" s="1"/>
  <c r="G41" i="3"/>
  <c r="C42" i="3"/>
  <c r="D42" i="3" s="1"/>
  <c r="E42" i="3" s="1"/>
  <c r="G42" i="3" l="1"/>
  <c r="F42" i="3"/>
  <c r="H42" i="3" s="1"/>
  <c r="C43" i="3"/>
  <c r="D43" i="3" s="1"/>
  <c r="E43" i="3" s="1"/>
  <c r="G43" i="3" l="1"/>
  <c r="F43" i="3"/>
  <c r="H43" i="3" s="1"/>
  <c r="C44" i="3"/>
  <c r="D44" i="3" s="1"/>
  <c r="E44" i="3" s="1"/>
  <c r="G44" i="3" l="1"/>
  <c r="F44" i="3"/>
  <c r="H44" i="3" s="1"/>
  <c r="C45" i="3"/>
  <c r="D45" i="3" s="1"/>
  <c r="E45" i="3" s="1"/>
  <c r="G45" i="3" l="1"/>
  <c r="F45" i="3"/>
  <c r="H45" i="3" s="1"/>
  <c r="C46" i="3"/>
  <c r="D46" i="3" s="1"/>
  <c r="E46" i="3" s="1"/>
  <c r="F46" i="3" l="1"/>
  <c r="H46" i="3" s="1"/>
  <c r="G46" i="3"/>
  <c r="C47" i="3"/>
  <c r="D47" i="3" s="1"/>
  <c r="E47" i="3" s="1"/>
  <c r="F47" i="3" l="1"/>
  <c r="H47" i="3" s="1"/>
  <c r="G47" i="3"/>
  <c r="C48" i="3"/>
  <c r="D48" i="3" s="1"/>
  <c r="E48" i="3" s="1"/>
  <c r="F48" i="3" l="1"/>
  <c r="H48" i="3" s="1"/>
  <c r="G48" i="3"/>
  <c r="C49" i="3"/>
  <c r="D49" i="3" s="1"/>
  <c r="E49" i="3" s="1"/>
  <c r="F49" i="3" l="1"/>
  <c r="H49" i="3" s="1"/>
  <c r="G49" i="3"/>
  <c r="C50" i="3"/>
  <c r="D50" i="3" s="1"/>
  <c r="E50" i="3" s="1"/>
  <c r="G50" i="3" l="1"/>
  <c r="F50" i="3"/>
  <c r="H50" i="3" s="1"/>
  <c r="C51" i="3"/>
  <c r="D51" i="3" s="1"/>
  <c r="E51" i="3" s="1"/>
  <c r="C52" i="3" l="1"/>
  <c r="D52" i="3" s="1"/>
  <c r="E52" i="3" s="1"/>
  <c r="C53" i="3" s="1"/>
  <c r="G51" i="3"/>
  <c r="F51" i="3"/>
  <c r="H51" i="3" s="1"/>
  <c r="G52" i="3" l="1"/>
  <c r="F52" i="3"/>
  <c r="H52" i="3" s="1"/>
  <c r="D53" i="3"/>
  <c r="E53" i="3" s="1"/>
  <c r="G53" i="3" l="1"/>
  <c r="F53" i="3"/>
  <c r="H53" i="3" s="1"/>
  <c r="C54" i="3"/>
  <c r="D54" i="3" l="1"/>
  <c r="E54" i="3" s="1"/>
  <c r="F54" i="3" l="1"/>
  <c r="H54" i="3" s="1"/>
  <c r="G54" i="3"/>
  <c r="C55" i="3"/>
  <c r="D55" i="3" l="1"/>
  <c r="E55" i="3" s="1"/>
  <c r="F55" i="3" l="1"/>
  <c r="H55" i="3" s="1"/>
  <c r="G55" i="3"/>
  <c r="C56" i="3"/>
  <c r="D56" i="3" l="1"/>
  <c r="E56" i="3" s="1"/>
  <c r="F56" i="3" l="1"/>
  <c r="H56" i="3" s="1"/>
  <c r="G56" i="3"/>
  <c r="C57" i="3"/>
  <c r="D57" i="3" l="1"/>
  <c r="E57" i="3" s="1"/>
  <c r="F57" i="3" l="1"/>
  <c r="H57" i="3" s="1"/>
  <c r="G57" i="3"/>
  <c r="C58" i="3"/>
  <c r="D58" i="3" l="1"/>
  <c r="E58" i="3" s="1"/>
  <c r="G58" i="3" l="1"/>
  <c r="F58" i="3"/>
  <c r="H58" i="3" s="1"/>
  <c r="C59" i="3"/>
  <c r="D59" i="3" l="1"/>
  <c r="E59" i="3" s="1"/>
  <c r="G59" i="3" l="1"/>
  <c r="F59" i="3"/>
  <c r="H59" i="3" s="1"/>
  <c r="C60" i="3"/>
  <c r="D60" i="3" s="1"/>
  <c r="E60" i="3" s="1"/>
  <c r="G60" i="3" l="1"/>
  <c r="F60" i="3"/>
  <c r="H60" i="3" s="1"/>
  <c r="C61" i="3"/>
  <c r="D61" i="3" l="1"/>
  <c r="E61" i="3" s="1"/>
  <c r="G61" i="3" l="1"/>
  <c r="F61" i="3"/>
  <c r="H61" i="3" s="1"/>
  <c r="C62" i="3"/>
  <c r="D62" i="3" l="1"/>
  <c r="E62" i="3" s="1"/>
  <c r="G62" i="3" l="1"/>
  <c r="F62" i="3"/>
  <c r="H62" i="3" s="1"/>
  <c r="C63" i="3"/>
  <c r="D63" i="3" l="1"/>
  <c r="E63" i="3" s="1"/>
  <c r="F63" i="3" l="1"/>
  <c r="H63" i="3" s="1"/>
  <c r="G63" i="3"/>
  <c r="C64" i="3"/>
  <c r="D64" i="3" l="1"/>
  <c r="E64" i="3" s="1"/>
  <c r="F64" i="3" l="1"/>
  <c r="H64" i="3" s="1"/>
  <c r="G64" i="3"/>
  <c r="C65" i="3"/>
  <c r="D65" i="3" l="1"/>
  <c r="E65" i="3" s="1"/>
  <c r="F65" i="3" l="1"/>
  <c r="H65" i="3" s="1"/>
  <c r="G65" i="3"/>
  <c r="C66" i="3"/>
  <c r="D66" i="3" l="1"/>
  <c r="E66" i="3" s="1"/>
  <c r="G66" i="3" l="1"/>
  <c r="F66" i="3"/>
  <c r="H66" i="3" s="1"/>
  <c r="C67" i="3"/>
  <c r="D67" i="3" s="1"/>
  <c r="E67" i="3" s="1"/>
  <c r="G67" i="3" l="1"/>
  <c r="F67" i="3"/>
  <c r="H67" i="3" s="1"/>
  <c r="C68" i="3"/>
  <c r="D68" i="3" s="1"/>
  <c r="E68" i="3" s="1"/>
  <c r="G68" i="3" l="1"/>
  <c r="F68" i="3"/>
  <c r="H68" i="3" s="1"/>
  <c r="C69" i="3"/>
  <c r="D69" i="3" l="1"/>
  <c r="E69" i="3" s="1"/>
  <c r="G69" i="3" l="1"/>
  <c r="F69" i="3"/>
  <c r="H69" i="3" s="1"/>
  <c r="C70" i="3"/>
  <c r="D70" i="3" l="1"/>
  <c r="E70" i="3" s="1"/>
  <c r="F70" i="3" l="1"/>
  <c r="H70" i="3" s="1"/>
  <c r="G70" i="3"/>
  <c r="C71" i="3"/>
  <c r="D71" i="3" l="1"/>
  <c r="E71" i="3" s="1"/>
  <c r="F71" i="3" l="1"/>
  <c r="H71" i="3" s="1"/>
  <c r="G71" i="3"/>
  <c r="C72" i="3"/>
  <c r="D72" i="3" l="1"/>
  <c r="E72" i="3" s="1"/>
  <c r="F72" i="3" l="1"/>
  <c r="H72" i="3" s="1"/>
  <c r="G72" i="3"/>
  <c r="C73" i="3"/>
  <c r="D73" i="3" l="1"/>
  <c r="E73" i="3" s="1"/>
  <c r="F73" i="3" l="1"/>
  <c r="H73" i="3" s="1"/>
  <c r="G73" i="3"/>
  <c r="C74" i="3"/>
  <c r="D74" i="3" s="1"/>
  <c r="E74" i="3" s="1"/>
  <c r="G74" i="3" l="1"/>
  <c r="F74" i="3"/>
  <c r="H74" i="3" s="1"/>
  <c r="C75" i="3"/>
  <c r="D75" i="3" l="1"/>
  <c r="E75" i="3" s="1"/>
  <c r="G75" i="3" l="1"/>
  <c r="F75" i="3"/>
  <c r="H75" i="3" s="1"/>
  <c r="C76" i="3"/>
  <c r="D76" i="3" s="1"/>
  <c r="E76" i="3" s="1"/>
  <c r="G76" i="3" l="1"/>
  <c r="F76" i="3"/>
  <c r="H76" i="3" s="1"/>
  <c r="C77" i="3"/>
  <c r="D77" i="3" l="1"/>
  <c r="E77" i="3" s="1"/>
  <c r="G77" i="3" l="1"/>
  <c r="F77" i="3"/>
  <c r="H77" i="3" s="1"/>
  <c r="C78" i="3"/>
  <c r="D78" i="3" l="1"/>
  <c r="E78" i="3" s="1"/>
  <c r="G78" i="3" l="1"/>
  <c r="F78" i="3"/>
  <c r="H78" i="3" s="1"/>
  <c r="C79" i="3"/>
  <c r="D79" i="3" l="1"/>
  <c r="E79" i="3" s="1"/>
  <c r="F79" i="3" l="1"/>
  <c r="H79" i="3" s="1"/>
  <c r="G79" i="3"/>
  <c r="C80" i="3"/>
  <c r="D80" i="3" l="1"/>
  <c r="E80" i="3" s="1"/>
  <c r="F80" i="3" l="1"/>
  <c r="H80" i="3" s="1"/>
  <c r="G80" i="3"/>
  <c r="C81" i="3"/>
  <c r="D81" i="3" l="1"/>
  <c r="E81" i="3" s="1"/>
  <c r="F81" i="3" l="1"/>
  <c r="H81" i="3" s="1"/>
  <c r="G81" i="3"/>
  <c r="C82" i="3"/>
  <c r="D82" i="3" s="1"/>
  <c r="E82" i="3" s="1"/>
  <c r="G82" i="3" l="1"/>
  <c r="F82" i="3"/>
  <c r="H82" i="3" s="1"/>
  <c r="C83" i="3"/>
  <c r="D83" i="3" l="1"/>
  <c r="E83" i="3" s="1"/>
  <c r="G83" i="3" l="1"/>
  <c r="F83" i="3"/>
  <c r="H83" i="3" s="1"/>
  <c r="C84" i="3"/>
  <c r="D84" i="3" s="1"/>
  <c r="E84" i="3" s="1"/>
  <c r="G84" i="3" l="1"/>
  <c r="F84" i="3"/>
  <c r="H84" i="3" s="1"/>
  <c r="C85" i="3"/>
  <c r="D85" i="3" l="1"/>
  <c r="E85" i="3" s="1"/>
  <c r="G85" i="3" l="1"/>
  <c r="F85" i="3"/>
  <c r="H85" i="3" s="1"/>
  <c r="C86" i="3"/>
  <c r="D86" i="3" l="1"/>
  <c r="E86" i="3" s="1"/>
  <c r="F86" i="3" l="1"/>
  <c r="H86" i="3" s="1"/>
  <c r="G86" i="3"/>
  <c r="C87" i="3"/>
  <c r="D87" i="3" l="1"/>
  <c r="E87" i="3" s="1"/>
  <c r="F87" i="3" l="1"/>
  <c r="H87" i="3" s="1"/>
  <c r="G87" i="3"/>
  <c r="C88" i="3"/>
  <c r="D88" i="3" l="1"/>
  <c r="E88" i="3" s="1"/>
  <c r="F88" i="3" l="1"/>
  <c r="H88" i="3" s="1"/>
  <c r="G88" i="3"/>
  <c r="C89" i="3"/>
  <c r="D89" i="3" l="1"/>
  <c r="E89" i="3" s="1"/>
  <c r="F89" i="3" l="1"/>
  <c r="H89" i="3" s="1"/>
  <c r="G89" i="3"/>
  <c r="C90" i="3"/>
  <c r="D90" i="3" l="1"/>
  <c r="E90" i="3" s="1"/>
  <c r="G90" i="3" l="1"/>
  <c r="F90" i="3"/>
  <c r="H90" i="3" s="1"/>
  <c r="C91" i="3"/>
  <c r="D91" i="3" s="1"/>
  <c r="E91" i="3" s="1"/>
  <c r="G91" i="3" l="1"/>
  <c r="F91" i="3"/>
  <c r="H91" i="3" s="1"/>
  <c r="C92" i="3"/>
  <c r="D92" i="3" s="1"/>
  <c r="E92" i="3" s="1"/>
  <c r="G92" i="3" l="1"/>
  <c r="F92" i="3"/>
  <c r="H92" i="3" s="1"/>
  <c r="C93" i="3"/>
  <c r="D93" i="3" l="1"/>
  <c r="E93" i="3" s="1"/>
  <c r="G93" i="3" l="1"/>
  <c r="F93" i="3"/>
  <c r="H93" i="3" s="1"/>
  <c r="C94" i="3"/>
  <c r="D94" i="3" l="1"/>
  <c r="E94" i="3" s="1"/>
  <c r="G94" i="3" l="1"/>
  <c r="F94" i="3"/>
  <c r="H94" i="3" s="1"/>
  <c r="C95" i="3"/>
  <c r="D95" i="3" l="1"/>
  <c r="E95" i="3" s="1"/>
  <c r="F95" i="3" l="1"/>
  <c r="H95" i="3" s="1"/>
  <c r="G95" i="3"/>
  <c r="C96" i="3"/>
  <c r="D96" i="3" l="1"/>
  <c r="E96" i="3" s="1"/>
  <c r="F96" i="3" l="1"/>
  <c r="H96" i="3" s="1"/>
  <c r="G96" i="3"/>
  <c r="C97" i="3"/>
  <c r="D97" i="3" l="1"/>
  <c r="E97" i="3" s="1"/>
  <c r="F97" i="3" l="1"/>
  <c r="H97" i="3" s="1"/>
  <c r="G97" i="3"/>
  <c r="C98" i="3"/>
  <c r="D98" i="3" l="1"/>
  <c r="E98" i="3" s="1"/>
  <c r="G98" i="3" l="1"/>
  <c r="F98" i="3"/>
  <c r="H98" i="3" s="1"/>
  <c r="C99" i="3"/>
  <c r="D99" i="3" s="1"/>
  <c r="E99" i="3" s="1"/>
  <c r="G99" i="3" l="1"/>
  <c r="F99" i="3"/>
  <c r="H99" i="3" s="1"/>
  <c r="C100" i="3"/>
  <c r="D100" i="3" s="1"/>
  <c r="E100" i="3" s="1"/>
  <c r="G100" i="3" l="1"/>
  <c r="F100" i="3"/>
  <c r="H100" i="3" s="1"/>
  <c r="C101" i="3"/>
  <c r="D101" i="3" l="1"/>
  <c r="E101" i="3" s="1"/>
  <c r="G101" i="3" l="1"/>
  <c r="F101" i="3"/>
  <c r="H101" i="3" s="1"/>
  <c r="C102" i="3"/>
  <c r="D102" i="3" l="1"/>
  <c r="E102" i="3" s="1"/>
  <c r="F102" i="3" l="1"/>
  <c r="H102" i="3" s="1"/>
  <c r="A26" i="1" s="1" a="1"/>
  <c r="A26" i="1" s="1"/>
  <c r="G102" i="3"/>
  <c r="G30" i="1" l="1"/>
  <c r="G33" i="1" s="1"/>
  <c r="B26" i="1"/>
  <c r="G31" i="1" s="1"/>
  <c r="C26" i="1"/>
  <c r="G32" i="1" s="1"/>
  <c r="G26" i="1"/>
</calcChain>
</file>

<file path=xl/sharedStrings.xml><?xml version="1.0" encoding="utf-8"?>
<sst xmlns="http://schemas.openxmlformats.org/spreadsheetml/2006/main" count="25" uniqueCount="25">
  <si>
    <t>Qual sua idade</t>
  </si>
  <si>
    <t>Renda desejada</t>
  </si>
  <si>
    <t>Inflação</t>
  </si>
  <si>
    <t>Idade atual</t>
  </si>
  <si>
    <t>Idade</t>
  </si>
  <si>
    <t>Patrimônio inicial</t>
  </si>
  <si>
    <t>Rendimentos</t>
  </si>
  <si>
    <t>Patrimônio real</t>
  </si>
  <si>
    <t>Renda mensal</t>
  </si>
  <si>
    <t>Aporte mensal</t>
  </si>
  <si>
    <t>Patrimônio inicial (R$)</t>
  </si>
  <si>
    <t>Aporte mensal (R$)</t>
  </si>
  <si>
    <t>Renda desejada (hoje) (R$)</t>
  </si>
  <si>
    <t>Renda mensal real</t>
  </si>
  <si>
    <t>Patrimônio nominal</t>
  </si>
  <si>
    <t>Idade da liberdade</t>
  </si>
  <si>
    <t>Inflação anual (%)</t>
  </si>
  <si>
    <t>DY mensal (%)</t>
  </si>
  <si>
    <t>Rentabilidade mensal (%)</t>
  </si>
  <si>
    <t>CONFIGURAÇÕES</t>
  </si>
  <si>
    <t>Tempo Até Atingir a Liberdade Financeira</t>
  </si>
  <si>
    <t>Patrimônio Nominal (R$)</t>
  </si>
  <si>
    <t>Patrimônio Real (R$)</t>
  </si>
  <si>
    <t>Valor Aportado (R$)</t>
  </si>
  <si>
    <t>ESTATÍSTICAS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</si>
</sst>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R$&quot;\ #,##0;[Red]\-&quot;R$&quot;\ #,##0"/>
    <numFmt numFmtId="8" formatCode="&quot;R$&quot;\ #,##0.00;[Red]\-&quot;R$&quot;\ #,##0.00"/>
    <numFmt numFmtId="43" formatCode="_-* #,##0.00_-;\-* #,##0.00_-;_-* &quot;-&quot;??_-;_-@_-"/>
    <numFmt numFmtId="164" formatCode="0.0%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theme="1"/>
      </right>
      <top/>
      <bottom style="thin">
        <color theme="0" tint="-0.14996795556505021"/>
      </bottom>
      <diagonal/>
    </border>
    <border>
      <left style="medium">
        <color theme="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theme="1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theme="1"/>
      </left>
      <right style="thin">
        <color theme="0" tint="-0.14996795556505021"/>
      </right>
      <top style="thin">
        <color theme="0" tint="-0.14996795556505021"/>
      </top>
      <bottom style="medium">
        <color theme="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medium">
        <color theme="1"/>
      </bottom>
      <diagonal/>
    </border>
    <border>
      <left style="thin">
        <color theme="0" tint="-0.14996795556505021"/>
      </left>
      <right style="medium">
        <color theme="1"/>
      </right>
      <top style="thin">
        <color theme="0" tint="-0.14996795556505021"/>
      </top>
      <bottom style="medium">
        <color theme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9">
    <xf numFmtId="0" fontId="0" fillId="0" borderId="0" xfId="0"/>
    <xf numFmtId="6" fontId="0" fillId="0" borderId="0" xfId="0" applyNumberFormat="1"/>
    <xf numFmtId="2" fontId="0" fillId="0" borderId="0" xfId="0" applyNumberFormat="1"/>
    <xf numFmtId="4" fontId="0" fillId="0" borderId="0" xfId="0" applyNumberFormat="1"/>
    <xf numFmtId="2" fontId="0" fillId="0" borderId="0" xfId="1" applyNumberFormat="1" applyFont="1"/>
    <xf numFmtId="8" fontId="0" fillId="0" borderId="0" xfId="0" applyNumberFormat="1"/>
    <xf numFmtId="1" fontId="4" fillId="0" borderId="0" xfId="1" applyNumberFormat="1" applyFont="1"/>
    <xf numFmtId="43" fontId="4" fillId="0" borderId="0" xfId="1" applyFont="1"/>
    <xf numFmtId="0" fontId="4" fillId="0" borderId="0" xfId="0" applyFont="1"/>
    <xf numFmtId="0" fontId="2" fillId="2" borderId="0" xfId="0" applyFont="1" applyFill="1" applyBorder="1" applyAlignment="1">
      <alignment horizontal="left" vertical="center" indent="3"/>
    </xf>
    <xf numFmtId="0" fontId="0" fillId="3" borderId="1" xfId="0" applyFill="1" applyBorder="1"/>
    <xf numFmtId="0" fontId="0" fillId="3" borderId="2" xfId="0" applyFill="1" applyBorder="1"/>
    <xf numFmtId="0" fontId="2" fillId="2" borderId="3" xfId="0" applyFont="1" applyFill="1" applyBorder="1" applyAlignment="1">
      <alignment horizontal="left" vertical="center" indent="3"/>
    </xf>
    <xf numFmtId="0" fontId="2" fillId="2" borderId="4" xfId="0" applyFont="1" applyFill="1" applyBorder="1" applyAlignment="1">
      <alignment horizontal="left" vertical="center" indent="3"/>
    </xf>
    <xf numFmtId="0" fontId="2" fillId="2" borderId="5" xfId="0" applyFont="1" applyFill="1" applyBorder="1" applyAlignment="1">
      <alignment horizontal="left" vertical="center" indent="3"/>
    </xf>
    <xf numFmtId="0" fontId="2" fillId="2" borderId="6" xfId="0" applyFont="1" applyFill="1" applyBorder="1" applyAlignment="1">
      <alignment horizontal="left" vertical="center" indent="3"/>
    </xf>
    <xf numFmtId="0" fontId="2" fillId="2" borderId="7" xfId="0" applyFont="1" applyFill="1" applyBorder="1" applyAlignment="1">
      <alignment horizontal="left" vertical="center" indent="3"/>
    </xf>
    <xf numFmtId="0" fontId="0" fillId="0" borderId="9" xfId="0" applyBorder="1" applyAlignment="1">
      <alignment horizontal="center"/>
    </xf>
    <xf numFmtId="4" fontId="0" fillId="0" borderId="11" xfId="1" applyNumberFormat="1" applyFont="1" applyBorder="1" applyAlignment="1">
      <alignment horizontal="center"/>
    </xf>
    <xf numFmtId="10" fontId="0" fillId="0" borderId="11" xfId="2" applyNumberFormat="1" applyFont="1" applyBorder="1" applyAlignment="1">
      <alignment horizontal="center"/>
    </xf>
    <xf numFmtId="164" fontId="0" fillId="0" borderId="11" xfId="2" applyNumberFormat="1" applyFont="1" applyBorder="1" applyAlignment="1">
      <alignment horizontal="center"/>
    </xf>
    <xf numFmtId="0" fontId="0" fillId="3" borderId="13" xfId="0" applyFill="1" applyBorder="1"/>
    <xf numFmtId="4" fontId="0" fillId="0" borderId="14" xfId="1" applyNumberFormat="1" applyFont="1" applyBorder="1" applyAlignment="1">
      <alignment horizontal="center"/>
    </xf>
    <xf numFmtId="0" fontId="5" fillId="3" borderId="8" xfId="0" applyFont="1" applyFill="1" applyBorder="1" applyAlignment="1">
      <alignment horizontal="left" indent="5"/>
    </xf>
    <xf numFmtId="0" fontId="5" fillId="3" borderId="10" xfId="0" applyFont="1" applyFill="1" applyBorder="1" applyAlignment="1">
      <alignment horizontal="left" indent="5"/>
    </xf>
    <xf numFmtId="0" fontId="5" fillId="3" borderId="12" xfId="0" applyFont="1" applyFill="1" applyBorder="1" applyAlignment="1">
      <alignment horizontal="left" indent="5"/>
    </xf>
    <xf numFmtId="0" fontId="3" fillId="0" borderId="9" xfId="0" applyFont="1" applyBorder="1" applyAlignment="1">
      <alignment horizontal="center"/>
    </xf>
    <xf numFmtId="4" fontId="3" fillId="0" borderId="11" xfId="1" applyNumberFormat="1" applyFont="1" applyBorder="1" applyAlignment="1">
      <alignment horizontal="center"/>
    </xf>
    <xf numFmtId="10" fontId="3" fillId="0" borderId="14" xfId="2" applyNumberFormat="1" applyFont="1" applyBorder="1" applyAlignment="1">
      <alignment horizontal="center"/>
    </xf>
  </cellXfs>
  <cellStyles count="3">
    <cellStyle name="Normal" xfId="0" builtinId="0"/>
    <cellStyle name="Porcentagem" xfId="2" builtinId="5"/>
    <cellStyle name="Vírgula" xfId="1" builtinId="3"/>
  </cellStyles>
  <dxfs count="7">
    <dxf>
      <numFmt numFmtId="10" formatCode="&quot;R$&quot;\ #,##0;[Red]\-&quot;R$&quot;\ #,##0"/>
    </dxf>
    <dxf>
      <numFmt numFmtId="10" formatCode="&quot;R$&quot;\ #,##0;[Red]\-&quot;R$&quot;\ #,##0"/>
    </dxf>
    <dxf>
      <numFmt numFmtId="10" formatCode="&quot;R$&quot;\ #,##0;[Red]\-&quot;R$&quot;\ #,##0"/>
    </dxf>
    <dxf>
      <numFmt numFmtId="10" formatCode="&quot;R$&quot;\ #,##0;[Red]\-&quot;R$&quot;\ #,##0"/>
    </dxf>
    <dxf>
      <numFmt numFmtId="12" formatCode="&quot;R$&quot;\ #,##0.00;[Red]\-&quot;R$&quot;\ #,##0.00"/>
    </dxf>
    <dxf>
      <numFmt numFmtId="10" formatCode="&quot;R$&quot;\ #,##0;[Red]\-&quot;R$&quot;\ #,##0"/>
    </dxf>
    <dxf>
      <numFmt numFmtId="10" formatCode="&quot;R$&quot;\ #,##0;[Red]\-&quot;R$&quot;\ #,##0"/>
    </dxf>
  </dxfs>
  <tableStyles count="0" defaultTableStyle="TableStyleMedium2" defaultPivotStyle="PivotStyleLight16"/>
  <colors>
    <mruColors>
      <color rgb="FF21AF46"/>
      <color rgb="FF45EB70"/>
      <color rgb="FF54DC5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5" Type="http://schemas.openxmlformats.org/officeDocument/2006/relationships/image" Target="../media/image5.png"/><Relationship Id="rId4" Type="http://schemas.openxmlformats.org/officeDocument/2006/relationships/image" Target="../media/image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490537</xdr:colOff>
      <xdr:row>0</xdr:row>
      <xdr:rowOff>85724</xdr:rowOff>
    </xdr:from>
    <xdr:to>
      <xdr:col>7</xdr:col>
      <xdr:colOff>103312</xdr:colOff>
      <xdr:row>6</xdr:row>
      <xdr:rowOff>22724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7A580282-29A1-415F-8D87-133A3E9A82EB}"/>
            </a:ext>
          </a:extLst>
        </xdr:cNvPr>
        <xdr:cNvSpPr/>
      </xdr:nvSpPr>
      <xdr:spPr>
        <a:xfrm>
          <a:off x="490537" y="85724"/>
          <a:ext cx="6213600" cy="1080000"/>
        </a:xfrm>
        <a:prstGeom prst="roundRect">
          <a:avLst/>
        </a:prstGeom>
        <a:solidFill>
          <a:srgbClr val="21AF46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800" b="1">
              <a:solidFill>
                <a:schemeClr val="bg1"/>
              </a:solidFill>
              <a:latin typeface="Corbel" panose="020B0503020204020204" pitchFamily="34" charset="0"/>
            </a:rPr>
            <a:t>App Liberdade Financeira</a:t>
          </a:r>
        </a:p>
      </xdr:txBody>
    </xdr:sp>
    <xdr:clientData/>
  </xdr:twoCellAnchor>
  <xdr:twoCellAnchor>
    <xdr:from>
      <xdr:col>0</xdr:col>
      <xdr:colOff>533400</xdr:colOff>
      <xdr:row>17</xdr:row>
      <xdr:rowOff>19050</xdr:rowOff>
    </xdr:from>
    <xdr:to>
      <xdr:col>7</xdr:col>
      <xdr:colOff>145012</xdr:colOff>
      <xdr:row>25</xdr:row>
      <xdr:rowOff>79874</xdr:rowOff>
    </xdr:to>
    <xdr:grpSp>
      <xdr:nvGrpSpPr>
        <xdr:cNvPr id="49" name="Agrupar 48">
          <a:extLst>
            <a:ext uri="{FF2B5EF4-FFF2-40B4-BE49-F238E27FC236}">
              <a16:creationId xmlns:a16="http://schemas.microsoft.com/office/drawing/2014/main" id="{254AD69A-71A2-46C6-8E89-32166B41F53C}"/>
            </a:ext>
          </a:extLst>
        </xdr:cNvPr>
        <xdr:cNvGrpSpPr/>
      </xdr:nvGrpSpPr>
      <xdr:grpSpPr>
        <a:xfrm>
          <a:off x="533400" y="3276600"/>
          <a:ext cx="6212437" cy="1584824"/>
          <a:chOff x="533400" y="3257550"/>
          <a:chExt cx="6212437" cy="1584824"/>
        </a:xfrm>
      </xdr:grpSpPr>
      <xdr:grpSp>
        <xdr:nvGrpSpPr>
          <xdr:cNvPr id="46" name="Agrupar 45">
            <a:extLst>
              <a:ext uri="{FF2B5EF4-FFF2-40B4-BE49-F238E27FC236}">
                <a16:creationId xmlns:a16="http://schemas.microsoft.com/office/drawing/2014/main" id="{9A035B3A-84A8-403F-BD06-74D2FEE90140}"/>
              </a:ext>
            </a:extLst>
          </xdr:cNvPr>
          <xdr:cNvGrpSpPr/>
        </xdr:nvGrpSpPr>
        <xdr:grpSpPr>
          <a:xfrm>
            <a:off x="533400" y="3257550"/>
            <a:ext cx="6212437" cy="1584824"/>
            <a:chOff x="542404" y="3381375"/>
            <a:chExt cx="5746233" cy="1584824"/>
          </a:xfrm>
        </xdr:grpSpPr>
        <xdr:grpSp>
          <xdr:nvGrpSpPr>
            <xdr:cNvPr id="17" name="Agrupar 16">
              <a:extLst>
                <a:ext uri="{FF2B5EF4-FFF2-40B4-BE49-F238E27FC236}">
                  <a16:creationId xmlns:a16="http://schemas.microsoft.com/office/drawing/2014/main" id="{2E78A974-D2FE-4DFE-9374-558B07F196DA}"/>
                </a:ext>
              </a:extLst>
            </xdr:cNvPr>
            <xdr:cNvGrpSpPr/>
          </xdr:nvGrpSpPr>
          <xdr:grpSpPr>
            <a:xfrm>
              <a:off x="542404" y="3381375"/>
              <a:ext cx="5746233" cy="1584824"/>
              <a:chOff x="532879" y="3352800"/>
              <a:chExt cx="5746233" cy="1584824"/>
            </a:xfrm>
          </xdr:grpSpPr>
          <xdr:sp macro="" textlink="">
            <xdr:nvSpPr>
              <xdr:cNvPr id="2" name="Retângulo: Cantos Superiores Arredondados 1">
                <a:extLst>
                  <a:ext uri="{FF2B5EF4-FFF2-40B4-BE49-F238E27FC236}">
                    <a16:creationId xmlns:a16="http://schemas.microsoft.com/office/drawing/2014/main" id="{00861502-4921-4304-9DB6-9F246EF85C77}"/>
                  </a:ext>
                </a:extLst>
              </xdr:cNvPr>
              <xdr:cNvSpPr/>
            </xdr:nvSpPr>
            <xdr:spPr>
              <a:xfrm>
                <a:off x="532879" y="3857624"/>
                <a:ext cx="5746233" cy="1080000"/>
              </a:xfrm>
              <a:prstGeom prst="round2SameRect">
                <a:avLst/>
              </a:prstGeom>
              <a:solidFill>
                <a:srgbClr val="21AF46"/>
              </a:solidFill>
              <a:ln>
                <a:noFill/>
              </a:ln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    <a:prstTxWarp prst="textNoShape">
                  <a:avLst/>
                </a:prstTxWarp>
                <a:noAutofit/>
              </a:bodyPr>
              <a:lstStyle/>
              <a:p>
                <a:pPr marL="0" indent="0" algn="ctr"/>
                <a:endParaRPr lang="pt-BR" sz="2800" b="1">
                  <a:solidFill>
                    <a:schemeClr val="lt1"/>
                  </a:solidFill>
                  <a:latin typeface="Corbel" panose="020B0503020204020204" pitchFamily="34" charset="0"/>
                  <a:ea typeface="+mn-ea"/>
                  <a:cs typeface="+mn-cs"/>
                </a:endParaRPr>
              </a:p>
            </xdr:txBody>
          </xdr:sp>
          <xdr:sp macro="" textlink="$G$26">
            <xdr:nvSpPr>
              <xdr:cNvPr id="4" name="Retângulo: Cantos Superiores Arredondados 3">
                <a:extLst>
                  <a:ext uri="{FF2B5EF4-FFF2-40B4-BE49-F238E27FC236}">
                    <a16:creationId xmlns:a16="http://schemas.microsoft.com/office/drawing/2014/main" id="{08ADA34F-292A-4BBD-868C-D24593A627F8}"/>
                  </a:ext>
                </a:extLst>
              </xdr:cNvPr>
              <xdr:cNvSpPr/>
            </xdr:nvSpPr>
            <xdr:spPr>
              <a:xfrm>
                <a:off x="4895850" y="3352800"/>
                <a:ext cx="1066800" cy="1295400"/>
              </a:xfrm>
              <a:prstGeom prst="round2SameRect">
                <a:avLst/>
              </a:prstGeom>
              <a:ln>
                <a:headEnd type="none" w="med" len="med"/>
                <a:tailEnd type="none" w="med" len="med"/>
              </a:ln>
            </xdr:spPr>
            <xdr:style>
              <a:lnRef idx="0">
                <a:schemeClr val="dk1"/>
              </a:lnRef>
              <a:fillRef idx="3">
                <a:schemeClr val="dk1"/>
              </a:fillRef>
              <a:effectRef idx="3">
                <a:schemeClr val="dk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ctr"/>
                <a:r>
                  <a:rPr lang="en-US" sz="1200" b="1" i="0" u="none" strike="noStrike">
                    <a:solidFill>
                      <a:schemeClr val="bg1"/>
                    </a:solidFill>
                    <a:latin typeface="Calibri"/>
                    <a:ea typeface="Calibri"/>
                    <a:cs typeface="Calibri"/>
                  </a:rPr>
                  <a:t>R$</a:t>
                </a:r>
              </a:p>
              <a:p>
                <a:pPr algn="ctr"/>
                <a:fld id="{121B435D-14E0-4E22-B7E2-1EDB583ED24A}" type="TxLink">
                  <a:rPr lang="en-US" sz="1200" b="1" i="0" u="none" strike="noStrike">
                    <a:solidFill>
                      <a:schemeClr val="bg1"/>
                    </a:solidFill>
                    <a:latin typeface="Calibri"/>
                    <a:ea typeface="Calibri"/>
                    <a:cs typeface="Calibri"/>
                  </a:rPr>
                  <a:pPr algn="ctr"/>
                  <a:t> 41.235,09 </a:t>
                </a:fld>
                <a:endParaRPr lang="pt-BR" sz="1100" b="1">
                  <a:solidFill>
                    <a:schemeClr val="bg1"/>
                  </a:solidFill>
                </a:endParaRPr>
              </a:p>
            </xdr:txBody>
          </xdr:sp>
          <xdr:sp macro="" textlink="Idade_liberdade">
            <xdr:nvSpPr>
              <xdr:cNvPr id="13" name="Retângulo: Cantos Superiores Arredondados 12">
                <a:extLst>
                  <a:ext uri="{FF2B5EF4-FFF2-40B4-BE49-F238E27FC236}">
                    <a16:creationId xmlns:a16="http://schemas.microsoft.com/office/drawing/2014/main" id="{A3FD32C5-70EF-40B7-A60F-EB01171EC775}"/>
                  </a:ext>
                </a:extLst>
              </xdr:cNvPr>
              <xdr:cNvSpPr/>
            </xdr:nvSpPr>
            <xdr:spPr>
              <a:xfrm>
                <a:off x="771525" y="3352800"/>
                <a:ext cx="1066800" cy="1295400"/>
              </a:xfrm>
              <a:prstGeom prst="round2SameRect">
                <a:avLst/>
              </a:prstGeom>
              <a:ln>
                <a:headEnd type="none" w="med" len="med"/>
                <a:tailEnd type="none" w="med" len="med"/>
              </a:ln>
            </xdr:spPr>
            <xdr:style>
              <a:lnRef idx="0">
                <a:schemeClr val="dk1"/>
              </a:lnRef>
              <a:fillRef idx="3">
                <a:schemeClr val="dk1"/>
              </a:fillRef>
              <a:effectRef idx="3">
                <a:schemeClr val="dk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marL="0" indent="0" algn="ctr"/>
                <a:fld id="{2C4488DC-4B98-4858-A046-9A74525F4F6E}" type="TxLink">
                  <a:rPr lang="en-US" sz="1400" b="1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rPr>
                  <a:pPr marL="0" indent="0" algn="ctr"/>
                  <a:t>62</a:t>
                </a:fld>
                <a:endParaRPr lang="en-US" sz="1400" b="1">
                  <a:solidFill>
                    <a:schemeClr val="lt1"/>
                  </a:solidFill>
                  <a:latin typeface="+mn-lt"/>
                  <a:ea typeface="+mn-ea"/>
                  <a:cs typeface="+mn-cs"/>
                </a:endParaRPr>
              </a:p>
              <a:p>
                <a:pPr marL="0" indent="0" algn="ctr"/>
                <a:r>
                  <a:rPr lang="en-US" sz="1400" b="1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rPr>
                  <a:t>Idade</a:t>
                </a:r>
                <a:endParaRPr lang="en-US" sz="1100" b="1">
                  <a:solidFill>
                    <a:schemeClr val="lt1"/>
                  </a:solidFill>
                  <a:latin typeface="+mn-lt"/>
                  <a:ea typeface="+mn-ea"/>
                  <a:cs typeface="+mn-cs"/>
                </a:endParaRPr>
              </a:p>
              <a:p>
                <a:pPr marL="0" indent="0" algn="l"/>
                <a:endParaRPr lang="en-US" sz="1100">
                  <a:solidFill>
                    <a:schemeClr val="lt1"/>
                  </a:solidFill>
                  <a:latin typeface="+mn-lt"/>
                  <a:ea typeface="+mn-ea"/>
                  <a:cs typeface="+mn-cs"/>
                </a:endParaRPr>
              </a:p>
              <a:p>
                <a:pPr marL="0" indent="0" algn="l"/>
                <a:endParaRPr lang="en-US" sz="1100">
                  <a:solidFill>
                    <a:schemeClr val="lt1"/>
                  </a:solidFill>
                  <a:latin typeface="+mn-lt"/>
                  <a:ea typeface="+mn-ea"/>
                  <a:cs typeface="+mn-cs"/>
                </a:endParaRPr>
              </a:p>
              <a:p>
                <a:pPr marL="0" indent="0" algn="l"/>
                <a:endParaRPr lang="pt-BR" sz="1100">
                  <a:solidFill>
                    <a:schemeClr val="lt1"/>
                  </a:solidFill>
                  <a:latin typeface="+mn-lt"/>
                  <a:ea typeface="+mn-ea"/>
                  <a:cs typeface="+mn-cs"/>
                </a:endParaRPr>
              </a:p>
            </xdr:txBody>
          </xdr:sp>
          <xdr:sp macro="" textlink="$B$26">
            <xdr:nvSpPr>
              <xdr:cNvPr id="14" name="Retângulo: Cantos Superiores Arredondados 13">
                <a:extLst>
                  <a:ext uri="{FF2B5EF4-FFF2-40B4-BE49-F238E27FC236}">
                    <a16:creationId xmlns:a16="http://schemas.microsoft.com/office/drawing/2014/main" id="{92A78362-036F-42E7-BD52-FE7838EE0409}"/>
                  </a:ext>
                </a:extLst>
              </xdr:cNvPr>
              <xdr:cNvSpPr/>
            </xdr:nvSpPr>
            <xdr:spPr>
              <a:xfrm>
                <a:off x="2142604" y="3352800"/>
                <a:ext cx="1066800" cy="1295400"/>
              </a:xfrm>
              <a:prstGeom prst="round2SameRect">
                <a:avLst/>
              </a:prstGeom>
              <a:ln>
                <a:headEnd type="none" w="med" len="med"/>
                <a:tailEnd type="none" w="med" len="med"/>
              </a:ln>
            </xdr:spPr>
            <xdr:style>
              <a:lnRef idx="0">
                <a:schemeClr val="dk1"/>
              </a:lnRef>
              <a:fillRef idx="3">
                <a:schemeClr val="dk1"/>
              </a:fillRef>
              <a:effectRef idx="3">
                <a:schemeClr val="dk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ctr"/>
                <a:r>
                  <a:rPr lang="en-US" sz="1100" b="1" i="0" u="none" strike="noStrike">
                    <a:solidFill>
                      <a:schemeClr val="bg1"/>
                    </a:solidFill>
                    <a:latin typeface="Calibri"/>
                    <a:ea typeface="Calibri"/>
                    <a:cs typeface="Calibri"/>
                  </a:rPr>
                  <a:t>R$</a:t>
                </a:r>
              </a:p>
              <a:p>
                <a:pPr algn="l"/>
                <a:fld id="{F84A7FAC-29B4-4047-AEEA-6B3D936D2C93}" type="TxLink">
                  <a:rPr lang="en-US" sz="1100" b="1" i="0" u="none" strike="noStrike">
                    <a:solidFill>
                      <a:schemeClr val="bg1"/>
                    </a:solidFill>
                    <a:latin typeface="Calibri"/>
                    <a:ea typeface="Calibri"/>
                    <a:cs typeface="Calibri"/>
                  </a:rPr>
                  <a:t> 5.154.385,72 </a:t>
                </a:fld>
                <a:endParaRPr lang="pt-BR" sz="1100" b="1">
                  <a:solidFill>
                    <a:schemeClr val="bg1"/>
                  </a:solidFill>
                </a:endParaRPr>
              </a:p>
            </xdr:txBody>
          </xdr:sp>
          <xdr:sp macro="" textlink="$C$26">
            <xdr:nvSpPr>
              <xdr:cNvPr id="15" name="Retângulo: Cantos Superiores Arredondados 14">
                <a:extLst>
                  <a:ext uri="{FF2B5EF4-FFF2-40B4-BE49-F238E27FC236}">
                    <a16:creationId xmlns:a16="http://schemas.microsoft.com/office/drawing/2014/main" id="{BBA3706B-4DAB-4006-AC1F-E984DC3BFEE4}"/>
                  </a:ext>
                </a:extLst>
              </xdr:cNvPr>
              <xdr:cNvSpPr/>
            </xdr:nvSpPr>
            <xdr:spPr>
              <a:xfrm>
                <a:off x="3543300" y="3352800"/>
                <a:ext cx="1066800" cy="1295400"/>
              </a:xfrm>
              <a:prstGeom prst="round2SameRect">
                <a:avLst/>
              </a:prstGeom>
              <a:ln>
                <a:headEnd type="none" w="med" len="med"/>
                <a:tailEnd type="none" w="med" len="med"/>
              </a:ln>
            </xdr:spPr>
            <xdr:style>
              <a:lnRef idx="0">
                <a:schemeClr val="dk1"/>
              </a:lnRef>
              <a:fillRef idx="3">
                <a:schemeClr val="dk1"/>
              </a:fillRef>
              <a:effectRef idx="3">
                <a:schemeClr val="dk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ctr"/>
                <a:r>
                  <a:rPr lang="en-US" sz="1200" b="1" i="0" u="none" strike="noStrike">
                    <a:solidFill>
                      <a:schemeClr val="bg1"/>
                    </a:solidFill>
                    <a:latin typeface="Calibri"/>
                    <a:ea typeface="Calibri"/>
                    <a:cs typeface="Calibri"/>
                  </a:rPr>
                  <a:t>R$</a:t>
                </a:r>
              </a:p>
              <a:p>
                <a:pPr algn="l"/>
                <a:fld id="{6B112472-C533-4B31-9A2B-D7837E83F1E8}" type="TxLink">
                  <a:rPr lang="en-US" sz="1200" b="1" i="0" u="none" strike="noStrike">
                    <a:solidFill>
                      <a:schemeClr val="bg1"/>
                    </a:solidFill>
                    <a:latin typeface="Calibri"/>
                    <a:ea typeface="Calibri"/>
                    <a:cs typeface="Calibri"/>
                  </a:rPr>
                  <a:t> 1.316.957,96 </a:t>
                </a:fld>
                <a:endParaRPr lang="pt-BR" sz="1100" b="1">
                  <a:solidFill>
                    <a:schemeClr val="bg1"/>
                  </a:solidFill>
                </a:endParaRPr>
              </a:p>
            </xdr:txBody>
          </xdr:sp>
          <xdr:sp macro="" textlink="">
            <xdr:nvSpPr>
              <xdr:cNvPr id="16" name="Retângulo: Cantos Superiores Arredondados 15">
                <a:extLst>
                  <a:ext uri="{FF2B5EF4-FFF2-40B4-BE49-F238E27FC236}">
                    <a16:creationId xmlns:a16="http://schemas.microsoft.com/office/drawing/2014/main" id="{AA7AC86B-418A-4A7A-8D2D-E00B486220C8}"/>
                  </a:ext>
                </a:extLst>
              </xdr:cNvPr>
              <xdr:cNvSpPr/>
            </xdr:nvSpPr>
            <xdr:spPr>
              <a:xfrm>
                <a:off x="532880" y="4429125"/>
                <a:ext cx="5744095" cy="438150"/>
              </a:xfrm>
              <a:prstGeom prst="round2SameRect">
                <a:avLst/>
              </a:prstGeom>
              <a:solidFill>
                <a:srgbClr val="21AF46"/>
              </a:solidFill>
              <a:ln>
                <a:noFill/>
              </a:ln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    <a:prstTxWarp prst="textNoShape">
                  <a:avLst/>
                </a:prstTxWarp>
                <a:noAutofit/>
              </a:bodyPr>
              <a:lstStyle/>
              <a:p>
                <a:pPr marL="0" indent="0" algn="ctr"/>
                <a:endParaRPr lang="pt-BR" sz="2800" b="1">
                  <a:solidFill>
                    <a:schemeClr val="lt1"/>
                  </a:solidFill>
                  <a:latin typeface="Corbel" panose="020B0503020204020204" pitchFamily="34" charset="0"/>
                  <a:ea typeface="+mn-ea"/>
                  <a:cs typeface="+mn-cs"/>
                </a:endParaRPr>
              </a:p>
            </xdr:txBody>
          </xdr:sp>
        </xdr:grpSp>
        <xdr:pic>
          <xdr:nvPicPr>
            <xdr:cNvPr id="19" name="Gráfico 18" descr="Cofrinho">
              <a:extLst>
                <a:ext uri="{FF2B5EF4-FFF2-40B4-BE49-F238E27FC236}">
                  <a16:creationId xmlns:a16="http://schemas.microsoft.com/office/drawing/2014/main" id="{B39EE31A-9EF0-4B05-842B-B47ECD8BE1B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28A0092B-C50C-407E-A947-70E740481C1C}">
                  <a14:useLocalDpi xmlns:a14="http://schemas.microsoft.com/office/drawing/2010/main" val="0"/>
                </a:ext>
                <a:ext uri="{96DAC541-7B7A-43D3-8B79-37D633B846F1}">
                  <asvg:svgBlip xmlns:asvg="http://schemas.microsoft.com/office/drawing/2016/SVG/main" r:embed="rId2"/>
                </a:ext>
              </a:extLst>
            </a:blip>
            <a:stretch>
              <a:fillRect/>
            </a:stretch>
          </xdr:blipFill>
          <xdr:spPr>
            <a:xfrm>
              <a:off x="2456020" y="3962400"/>
              <a:ext cx="523875" cy="523875"/>
            </a:xfrm>
            <a:prstGeom prst="rect">
              <a:avLst/>
            </a:prstGeom>
          </xdr:spPr>
        </xdr:pic>
        <xdr:pic>
          <xdr:nvPicPr>
            <xdr:cNvPr id="21" name="Gráfico 20" descr="Perfil masculino">
              <a:extLst>
                <a:ext uri="{FF2B5EF4-FFF2-40B4-BE49-F238E27FC236}">
                  <a16:creationId xmlns:a16="http://schemas.microsoft.com/office/drawing/2014/main" id="{E87F2145-C09E-44E9-B3A1-9A494EC7442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>
              <a:extLst>
                <a:ext uri="{28A0092B-C50C-407E-A947-70E740481C1C}">
                  <a14:useLocalDpi xmlns:a14="http://schemas.microsoft.com/office/drawing/2010/main" val="0"/>
                </a:ext>
                <a:ext uri="{96DAC541-7B7A-43D3-8B79-37D633B846F1}">
                  <asvg:svgBlip xmlns:asvg="http://schemas.microsoft.com/office/drawing/2016/SVG/main" r:embed="rId4"/>
                </a:ext>
              </a:extLst>
            </a:blip>
            <a:stretch>
              <a:fillRect/>
            </a:stretch>
          </xdr:blipFill>
          <xdr:spPr>
            <a:xfrm>
              <a:off x="1123950" y="4057650"/>
              <a:ext cx="400050" cy="400050"/>
            </a:xfrm>
            <a:prstGeom prst="rect">
              <a:avLst/>
            </a:prstGeom>
          </xdr:spPr>
        </xdr:pic>
        <xdr:pic>
          <xdr:nvPicPr>
            <xdr:cNvPr id="22" name="Gráfico 21" descr="Dinheiro">
              <a:extLst>
                <a:ext uri="{FF2B5EF4-FFF2-40B4-BE49-F238E27FC236}">
                  <a16:creationId xmlns:a16="http://schemas.microsoft.com/office/drawing/2014/main" id="{1794D3B9-E837-4193-9BD9-13BDB61788C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28A0092B-C50C-407E-A947-70E740481C1C}">
                  <a14:useLocalDpi xmlns:a14="http://schemas.microsoft.com/office/drawing/2010/main" val="0"/>
                </a:ex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5257800" y="4048125"/>
              <a:ext cx="390525" cy="414338"/>
            </a:xfrm>
            <a:prstGeom prst="rect">
              <a:avLst/>
            </a:prstGeom>
          </xdr:spPr>
        </xdr:pic>
        <xdr:sp macro="" textlink="">
          <xdr:nvSpPr>
            <xdr:cNvPr id="39" name="Retângulo 38">
              <a:extLst>
                <a:ext uri="{FF2B5EF4-FFF2-40B4-BE49-F238E27FC236}">
                  <a16:creationId xmlns:a16="http://schemas.microsoft.com/office/drawing/2014/main" id="{BB2D2C1A-9E90-43D8-955C-33683E2BBA9D}"/>
                </a:ext>
              </a:extLst>
            </xdr:cNvPr>
            <xdr:cNvSpPr/>
          </xdr:nvSpPr>
          <xdr:spPr>
            <a:xfrm>
              <a:off x="704851" y="4429124"/>
              <a:ext cx="1219199" cy="438151"/>
            </a:xfrm>
            <a:prstGeom prst="rect">
              <a:avLst/>
            </a:prstGeom>
            <a:solidFill>
              <a:srgbClr val="21AF46"/>
            </a:solidFill>
            <a:ln>
              <a:noFill/>
            </a:ln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pPr marL="0" indent="0" algn="ctr"/>
              <a:r>
                <a:rPr lang="pt-BR" sz="1100" b="1" i="0" u="none" strike="noStrike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Liberdade</a:t>
              </a:r>
              <a:r>
                <a:rPr lang="pt-BR" sz="1100" b="1" i="0" u="none" strike="noStrike" baseline="0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pt-BR" sz="1100" b="1" i="0" u="none" strike="noStrike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Financeira</a:t>
              </a:r>
              <a:r>
                <a:rPr lang="pt-BR" sz="1100" b="1"/>
                <a:t> </a:t>
              </a:r>
              <a:endParaRPr lang="pt-BR" sz="1100" b="1">
                <a:solidFill>
                  <a:schemeClr val="lt1"/>
                </a:solidFill>
                <a:latin typeface="Corbel" panose="020B0503020204020204" pitchFamily="34" charset="0"/>
                <a:ea typeface="+mn-ea"/>
                <a:cs typeface="+mn-cs"/>
              </a:endParaRPr>
            </a:p>
          </xdr:txBody>
        </xdr:sp>
        <xdr:sp macro="" textlink="">
          <xdr:nvSpPr>
            <xdr:cNvPr id="43" name="Retângulo 42">
              <a:extLst>
                <a:ext uri="{FF2B5EF4-FFF2-40B4-BE49-F238E27FC236}">
                  <a16:creationId xmlns:a16="http://schemas.microsoft.com/office/drawing/2014/main" id="{0C6DB9B4-516B-4D5A-8930-FC99502A2E85}"/>
                </a:ext>
              </a:extLst>
            </xdr:cNvPr>
            <xdr:cNvSpPr/>
          </xdr:nvSpPr>
          <xdr:spPr>
            <a:xfrm>
              <a:off x="2066925" y="4429125"/>
              <a:ext cx="1219199" cy="438151"/>
            </a:xfrm>
            <a:prstGeom prst="rect">
              <a:avLst/>
            </a:prstGeom>
            <a:solidFill>
              <a:srgbClr val="21AF46"/>
            </a:solidFill>
            <a:ln>
              <a:noFill/>
            </a:ln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pPr marL="0" indent="0" algn="ctr"/>
              <a:r>
                <a:rPr lang="pt-BR" sz="1100" b="1" i="0" u="none" strike="noStrike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Patrimônio Acumulado</a:t>
              </a:r>
              <a:r>
                <a:rPr lang="pt-BR" b="1"/>
                <a:t> </a:t>
              </a:r>
              <a:endParaRPr lang="pt-BR" sz="1100" b="1">
                <a:solidFill>
                  <a:schemeClr val="lt1"/>
                </a:solidFill>
                <a:latin typeface="Corbel" panose="020B0503020204020204" pitchFamily="34" charset="0"/>
                <a:ea typeface="+mn-ea"/>
                <a:cs typeface="+mn-cs"/>
              </a:endParaRPr>
            </a:p>
          </xdr:txBody>
        </xdr:sp>
        <xdr:sp macro="" textlink="">
          <xdr:nvSpPr>
            <xdr:cNvPr id="44" name="Retângulo 43">
              <a:extLst>
                <a:ext uri="{FF2B5EF4-FFF2-40B4-BE49-F238E27FC236}">
                  <a16:creationId xmlns:a16="http://schemas.microsoft.com/office/drawing/2014/main" id="{1EFC48E1-8910-47F3-B9C5-5D5AA77D78E5}"/>
                </a:ext>
              </a:extLst>
            </xdr:cNvPr>
            <xdr:cNvSpPr/>
          </xdr:nvSpPr>
          <xdr:spPr>
            <a:xfrm>
              <a:off x="3467100" y="4429125"/>
              <a:ext cx="1219199" cy="438151"/>
            </a:xfrm>
            <a:prstGeom prst="rect">
              <a:avLst/>
            </a:prstGeom>
            <a:solidFill>
              <a:srgbClr val="21AF46"/>
            </a:solidFill>
            <a:ln>
              <a:noFill/>
            </a:ln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pPr marL="0" indent="0" algn="ctr"/>
              <a:r>
                <a:rPr lang="pt-BR" sz="1100" b="1" i="0" u="none" strike="noStrike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Patrimônio Real</a:t>
              </a:r>
              <a:endParaRPr lang="pt-BR" sz="1100" b="1">
                <a:solidFill>
                  <a:schemeClr val="lt1"/>
                </a:solidFill>
                <a:latin typeface="Corbel" panose="020B0503020204020204" pitchFamily="34" charset="0"/>
                <a:ea typeface="+mn-ea"/>
                <a:cs typeface="+mn-cs"/>
              </a:endParaRPr>
            </a:p>
          </xdr:txBody>
        </xdr:sp>
        <xdr:sp macro="" textlink="">
          <xdr:nvSpPr>
            <xdr:cNvPr id="45" name="Retângulo 44">
              <a:extLst>
                <a:ext uri="{FF2B5EF4-FFF2-40B4-BE49-F238E27FC236}">
                  <a16:creationId xmlns:a16="http://schemas.microsoft.com/office/drawing/2014/main" id="{2B38C952-2664-4E6F-8C0B-B90C9DC62B19}"/>
                </a:ext>
              </a:extLst>
            </xdr:cNvPr>
            <xdr:cNvSpPr/>
          </xdr:nvSpPr>
          <xdr:spPr>
            <a:xfrm>
              <a:off x="4828915" y="4429125"/>
              <a:ext cx="1219199" cy="438151"/>
            </a:xfrm>
            <a:prstGeom prst="rect">
              <a:avLst/>
            </a:prstGeom>
            <a:solidFill>
              <a:srgbClr val="21AF46"/>
            </a:solidFill>
            <a:ln>
              <a:noFill/>
            </a:ln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pPr marL="0" indent="0" algn="ctr"/>
              <a:r>
                <a:rPr lang="pt-BR" sz="1100" b="1" i="0" u="none" strike="noStrike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Renda nominal</a:t>
              </a:r>
            </a:p>
          </xdr:txBody>
        </xdr:sp>
      </xdr:grpSp>
      <xdr:pic>
        <xdr:nvPicPr>
          <xdr:cNvPr id="48" name="Gráfico 47" descr="Tendência ascendente">
            <a:extLst>
              <a:ext uri="{FF2B5EF4-FFF2-40B4-BE49-F238E27FC236}">
                <a16:creationId xmlns:a16="http://schemas.microsoft.com/office/drawing/2014/main" id="{C1ECA272-6CE2-48CA-808E-CE014DD6915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8"/>
              </a:ext>
            </a:extLst>
          </a:blip>
          <a:stretch>
            <a:fillRect/>
          </a:stretch>
        </xdr:blipFill>
        <xdr:spPr>
          <a:xfrm>
            <a:off x="4162426" y="3943351"/>
            <a:ext cx="381000" cy="381000"/>
          </a:xfrm>
          <a:prstGeom prst="rect">
            <a:avLst/>
          </a:prstGeom>
        </xdr:spPr>
      </xdr:pic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7485A95-BCC4-4EA0-B328-961536844DD9}" name="Tabela3" displayName="Tabela3" ref="A1:H102" totalsRowShown="0">
  <autoFilter ref="A1:H102" xr:uid="{27485A95-BCC4-4EA0-B328-961536844DD9}"/>
  <tableColumns count="8">
    <tableColumn id="1" xr3:uid="{76B5EEE4-4006-46B2-B5A3-4D47B7ED6098}" name="Idade"/>
    <tableColumn id="2" xr3:uid="{C023DC84-9A9B-4189-8F76-F0109E013B35}" name="Aporte mensal" dataDxfId="6">
      <calculatedColumnFormula>IF(A2&lt;Premissas!$G$10,0,Premissas!$G$12)</calculatedColumnFormula>
    </tableColumn>
    <tableColumn id="3" xr3:uid="{B1FC5ED8-4D70-4A0A-9F6C-E52BD73B3EF0}" name="Patrimônio inicial" dataDxfId="5">
      <calculatedColumnFormula>IF(A2&lt;Premissas!$G$10,0,IF(Apoio!A2=Premissas!$G$10,Premissas!$G$11,INDEX($E:$E,ROW()-1)))</calculatedColumnFormula>
    </tableColumn>
    <tableColumn id="4" xr3:uid="{4E2D3952-756E-42CA-A304-6B524CD64183}" name="Rendimentos" dataDxfId="4">
      <calculatedColumnFormula>IF(A2&lt;Premissas!$G$10,0,IF(Premissas!$G$13=0,0,Apoio!C2*((1+Premissas!$G$13)^12-1)+Apoio!B2*(((1+Premissas!$G$13)^11-1)/Premissas!$G$13)))</calculatedColumnFormula>
    </tableColumn>
    <tableColumn id="5" xr3:uid="{2891949F-F794-4801-AD5E-D773B90CDD18}" name="Patrimônio nominal" dataDxfId="3">
      <calculatedColumnFormula>C2+D2+(B2*12)</calculatedColumnFormula>
    </tableColumn>
    <tableColumn id="6" xr3:uid="{A4AF9784-1C47-48F2-96DE-221C0B1E2895}" name="Patrimônio real" dataDxfId="2">
      <calculatedColumnFormula>IF(A2&lt;Idade_atual,0,Apoio!E2/(1+Inflaçao_anual)^(Apoio!A2-Idade_atual+1))</calculatedColumnFormula>
    </tableColumn>
    <tableColumn id="7" xr3:uid="{14A49017-2DE9-4113-A898-8484CA4E781C}" name="Renda mensal" dataDxfId="1">
      <calculatedColumnFormula>E2*DY_mensal</calculatedColumnFormula>
    </tableColumn>
    <tableColumn id="8" xr3:uid="{20FDC38B-DA85-468A-BDFD-DAD19D7B49D3}" name="Renda mensal real" dataDxfId="0">
      <calculatedColumnFormula>F2*DY_mensal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T41"/>
  <sheetViews>
    <sheetView showGridLines="0" tabSelected="1" workbookViewId="0">
      <selection activeCell="E37" sqref="E37"/>
    </sheetView>
  </sheetViews>
  <sheetFormatPr defaultColWidth="0" defaultRowHeight="15" x14ac:dyDescent="0.25"/>
  <cols>
    <col min="1" max="1" width="9.140625" customWidth="1"/>
    <col min="2" max="2" width="37.140625" bestFit="1" customWidth="1"/>
    <col min="3" max="3" width="11.5703125" bestFit="1" customWidth="1"/>
    <col min="4" max="6" width="9.140625" customWidth="1"/>
    <col min="7" max="7" width="13.7109375" bestFit="1" customWidth="1"/>
    <col min="8" max="8" width="9.140625" customWidth="1"/>
    <col min="9" max="20" width="0" hidden="1" customWidth="1"/>
    <col min="21" max="16384" width="9.140625" hidden="1"/>
  </cols>
  <sheetData>
    <row r="2" spans="2:19" x14ac:dyDescent="0.25">
      <c r="S2" t="s">
        <v>0</v>
      </c>
    </row>
    <row r="3" spans="2:19" x14ac:dyDescent="0.25">
      <c r="S3" t="s">
        <v>1</v>
      </c>
    </row>
    <row r="4" spans="2:19" x14ac:dyDescent="0.25">
      <c r="S4" t="s">
        <v>2</v>
      </c>
    </row>
    <row r="7" spans="2:19" ht="15.75" thickBot="1" x14ac:dyDescent="0.3"/>
    <row r="8" spans="2:19" x14ac:dyDescent="0.25">
      <c r="B8" s="12" t="s">
        <v>19</v>
      </c>
      <c r="C8" s="13"/>
      <c r="D8" s="13"/>
      <c r="E8" s="13"/>
      <c r="F8" s="13"/>
      <c r="G8" s="14"/>
    </row>
    <row r="9" spans="2:19" x14ac:dyDescent="0.25">
      <c r="B9" s="15"/>
      <c r="C9" s="9"/>
      <c r="D9" s="9"/>
      <c r="E9" s="9"/>
      <c r="F9" s="9"/>
      <c r="G9" s="16"/>
    </row>
    <row r="10" spans="2:19" x14ac:dyDescent="0.25">
      <c r="B10" s="23" t="s">
        <v>3</v>
      </c>
      <c r="C10" s="10"/>
      <c r="D10" s="10"/>
      <c r="E10" s="10"/>
      <c r="F10" s="10"/>
      <c r="G10" s="17">
        <v>32</v>
      </c>
    </row>
    <row r="11" spans="2:19" x14ac:dyDescent="0.25">
      <c r="B11" s="24" t="s">
        <v>10</v>
      </c>
      <c r="C11" s="11"/>
      <c r="D11" s="11"/>
      <c r="E11" s="11"/>
      <c r="F11" s="11"/>
      <c r="G11" s="18">
        <v>0</v>
      </c>
    </row>
    <row r="12" spans="2:19" x14ac:dyDescent="0.25">
      <c r="B12" s="24" t="s">
        <v>11</v>
      </c>
      <c r="C12" s="11"/>
      <c r="D12" s="11"/>
      <c r="E12" s="11"/>
      <c r="F12" s="11"/>
      <c r="G12" s="18">
        <v>1200</v>
      </c>
    </row>
    <row r="13" spans="2:19" x14ac:dyDescent="0.25">
      <c r="B13" s="24" t="s">
        <v>18</v>
      </c>
      <c r="C13" s="11"/>
      <c r="D13" s="11"/>
      <c r="E13" s="11"/>
      <c r="F13" s="11"/>
      <c r="G13" s="19">
        <v>8.0000000000000002E-3</v>
      </c>
    </row>
    <row r="14" spans="2:19" x14ac:dyDescent="0.25">
      <c r="B14" s="24" t="s">
        <v>17</v>
      </c>
      <c r="C14" s="11"/>
      <c r="D14" s="11"/>
      <c r="E14" s="11"/>
      <c r="F14" s="11"/>
      <c r="G14" s="19">
        <v>8.0000000000000002E-3</v>
      </c>
      <c r="J14" s="4"/>
    </row>
    <row r="15" spans="2:19" x14ac:dyDescent="0.25">
      <c r="B15" s="24" t="s">
        <v>16</v>
      </c>
      <c r="C15" s="11"/>
      <c r="D15" s="11"/>
      <c r="E15" s="11"/>
      <c r="F15" s="11"/>
      <c r="G15" s="20">
        <v>4.4999999999999998E-2</v>
      </c>
    </row>
    <row r="16" spans="2:19" ht="15.75" thickBot="1" x14ac:dyDescent="0.3">
      <c r="B16" s="25" t="s">
        <v>12</v>
      </c>
      <c r="C16" s="21"/>
      <c r="D16" s="21"/>
      <c r="E16" s="21"/>
      <c r="F16" s="21"/>
      <c r="G16" s="22">
        <v>10000</v>
      </c>
    </row>
    <row r="17" spans="1:10" x14ac:dyDescent="0.25">
      <c r="J17" s="4"/>
    </row>
    <row r="25" spans="1:10" x14ac:dyDescent="0.25">
      <c r="B25" t="s">
        <v>15</v>
      </c>
    </row>
    <row r="26" spans="1:10" s="8" customFormat="1" x14ac:dyDescent="0.25">
      <c r="A26" s="6">
        <f t="array" ref="A26">IFERROR(INDEX(Apoio!$A$2:'Apoio'!$A$102,MATCH(TRUE,Apoio!$H$2:'Apoio'!$H$102&gt;=Premissas!G16,0)),"Não alcançada")</f>
        <v>62</v>
      </c>
      <c r="B26" s="7">
        <f>VLOOKUP(Idade_liberdade,Apoio!A:H,5)</f>
        <v>5154385.7242752714</v>
      </c>
      <c r="C26" s="7">
        <f>VLOOKUP(Idade_liberdade,Apoio!A:H,6)</f>
        <v>1316957.9601058105</v>
      </c>
      <c r="G26" s="7">
        <f>VLOOKUP(Idade_liberdade,Apoio!A:H,7)</f>
        <v>41235.085794202176</v>
      </c>
    </row>
    <row r="27" spans="1:10" ht="15.75" thickBot="1" x14ac:dyDescent="0.3"/>
    <row r="28" spans="1:10" ht="15" customHeight="1" x14ac:dyDescent="0.25">
      <c r="B28" s="12" t="s">
        <v>24</v>
      </c>
      <c r="C28" s="13"/>
      <c r="D28" s="13"/>
      <c r="E28" s="13"/>
      <c r="F28" s="13"/>
      <c r="G28" s="14"/>
    </row>
    <row r="29" spans="1:10" ht="15" customHeight="1" x14ac:dyDescent="0.25">
      <c r="B29" s="15"/>
      <c r="C29" s="9"/>
      <c r="D29" s="9"/>
      <c r="E29" s="9"/>
      <c r="F29" s="9"/>
      <c r="G29" s="16"/>
    </row>
    <row r="30" spans="1:10" x14ac:dyDescent="0.25">
      <c r="B30" s="23" t="s">
        <v>20</v>
      </c>
      <c r="C30" s="10"/>
      <c r="D30" s="10"/>
      <c r="E30" s="10"/>
      <c r="F30" s="10"/>
      <c r="G30" s="26">
        <f>Idade_liberdade-Idade_atual</f>
        <v>30</v>
      </c>
    </row>
    <row r="31" spans="1:10" x14ac:dyDescent="0.25">
      <c r="B31" s="24" t="s">
        <v>21</v>
      </c>
      <c r="C31" s="11"/>
      <c r="D31" s="11"/>
      <c r="E31" s="11"/>
      <c r="F31" s="11"/>
      <c r="G31" s="27">
        <f>B26</f>
        <v>5154385.7242752714</v>
      </c>
    </row>
    <row r="32" spans="1:10" x14ac:dyDescent="0.25">
      <c r="B32" s="24" t="s">
        <v>22</v>
      </c>
      <c r="C32" s="11"/>
      <c r="D32" s="11"/>
      <c r="E32" s="11"/>
      <c r="F32" s="11"/>
      <c r="G32" s="27">
        <f>C26</f>
        <v>1316957.9601058105</v>
      </c>
    </row>
    <row r="33" spans="2:7" ht="15.75" thickBot="1" x14ac:dyDescent="0.3">
      <c r="B33" s="25" t="s">
        <v>23</v>
      </c>
      <c r="C33" s="21"/>
      <c r="D33" s="21"/>
      <c r="E33" s="21"/>
      <c r="F33" s="21"/>
      <c r="G33" s="28">
        <f>((12*G30)*Aporte_mensal)</f>
        <v>432000</v>
      </c>
    </row>
    <row r="37" spans="2:7" ht="15" customHeight="1" x14ac:dyDescent="0.25"/>
    <row r="38" spans="2:7" ht="15" customHeight="1" x14ac:dyDescent="0.25"/>
    <row r="40" spans="2:7" ht="15" customHeight="1" x14ac:dyDescent="0.25"/>
    <row r="41" spans="2:7" ht="15" customHeight="1" x14ac:dyDescent="0.25"/>
  </sheetData>
  <mergeCells count="2">
    <mergeCell ref="B8:G9"/>
    <mergeCell ref="B28:G29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BE9C6-098C-4D5D-B7EC-9E22ACBCFFE1}">
  <dimension ref="A1:H104"/>
  <sheetViews>
    <sheetView workbookViewId="0">
      <pane ySplit="1" topLeftCell="A50" activePane="bottomLeft" state="frozen"/>
      <selection pane="bottomLeft" activeCell="M64" sqref="M64"/>
    </sheetView>
  </sheetViews>
  <sheetFormatPr defaultRowHeight="15" x14ac:dyDescent="0.25"/>
  <cols>
    <col min="1" max="1" width="8.28515625" bestFit="1" customWidth="1"/>
    <col min="2" max="2" width="16.42578125" bestFit="1" customWidth="1"/>
    <col min="3" max="3" width="19" bestFit="1" customWidth="1"/>
    <col min="4" max="4" width="15.140625" bestFit="1" customWidth="1"/>
    <col min="5" max="5" width="21.140625" bestFit="1" customWidth="1"/>
    <col min="6" max="6" width="17.140625" bestFit="1" customWidth="1"/>
    <col min="7" max="7" width="15.85546875" bestFit="1" customWidth="1"/>
    <col min="8" max="8" width="19.85546875" bestFit="1" customWidth="1"/>
  </cols>
  <sheetData>
    <row r="1" spans="1:8" x14ac:dyDescent="0.25">
      <c r="A1" t="s">
        <v>4</v>
      </c>
      <c r="B1" t="s">
        <v>9</v>
      </c>
      <c r="C1" t="s">
        <v>5</v>
      </c>
      <c r="D1" t="s">
        <v>6</v>
      </c>
      <c r="E1" t="s">
        <v>14</v>
      </c>
      <c r="F1" t="s">
        <v>7</v>
      </c>
      <c r="G1" t="s">
        <v>8</v>
      </c>
      <c r="H1" t="s">
        <v>13</v>
      </c>
    </row>
    <row r="2" spans="1:8" x14ac:dyDescent="0.25">
      <c r="A2">
        <v>0</v>
      </c>
      <c r="B2" s="1">
        <f>IF(A2&lt;Premissas!$G$10,0,Premissas!$G$12)</f>
        <v>0</v>
      </c>
      <c r="C2" s="1">
        <f>IF(A2&lt;Premissas!$G$10,0,IF(Apoio!A2=Premissas!$G$10,Premissas!$G$11,INDEX($E:$E,ROW()-1)))</f>
        <v>0</v>
      </c>
      <c r="D2" s="5">
        <f>IF(A2&lt;Premissas!$G$10,0,IF(Premissas!$G$13=0,0,Apoio!C2*((1+Premissas!$G$13)^12-1)+Apoio!B2*(((1+Premissas!$G$13)^11-1)/Premissas!$G$13)))</f>
        <v>0</v>
      </c>
      <c r="E2" s="1">
        <f>C2+D2+(B2*12)</f>
        <v>0</v>
      </c>
      <c r="F2" s="1">
        <f>IF(A2&lt;Idade_atual,0,Apoio!E2/(1+Inflaçao_anual)^(Apoio!A2-Idade_atual+1))</f>
        <v>0</v>
      </c>
      <c r="G2" s="1">
        <f t="shared" ref="G2:G33" si="0">E2*DY_mensal</f>
        <v>0</v>
      </c>
      <c r="H2" s="1">
        <f t="shared" ref="H2:H33" si="1">F2*DY_mensal</f>
        <v>0</v>
      </c>
    </row>
    <row r="3" spans="1:8" x14ac:dyDescent="0.25">
      <c r="A3">
        <v>1</v>
      </c>
      <c r="B3" s="1">
        <f>IF(A3&lt;Premissas!$G$10,0,Premissas!$G$12)</f>
        <v>0</v>
      </c>
      <c r="C3" s="1">
        <f>IF(A3&lt;Premissas!$G$10,0,IF(Apoio!A3=Premissas!$G$10,Premissas!$G$11,INDEX($E:$E,ROW()-1)))</f>
        <v>0</v>
      </c>
      <c r="D3" s="5">
        <f>IF(A3&lt;Premissas!$G$10,0,IF(Premissas!$G$13=0,0,Apoio!C3*((1+Premissas!$G$13)^12-1)+Apoio!B3*(((1+Premissas!$G$13)^11-1)/Premissas!$G$13)))</f>
        <v>0</v>
      </c>
      <c r="E3" s="1">
        <f t="shared" ref="E3:E66" si="2">C3+D3+(B3*12)</f>
        <v>0</v>
      </c>
      <c r="F3" s="1">
        <f>IF(A3&lt;Idade_atual,0,Apoio!E3/(1+Inflaçao_anual)^(Apoio!A3-Idade_atual+1))</f>
        <v>0</v>
      </c>
      <c r="G3" s="1">
        <f t="shared" si="0"/>
        <v>0</v>
      </c>
      <c r="H3" s="1">
        <f t="shared" si="1"/>
        <v>0</v>
      </c>
    </row>
    <row r="4" spans="1:8" x14ac:dyDescent="0.25">
      <c r="A4">
        <v>2</v>
      </c>
      <c r="B4" s="1">
        <f>IF(A4&lt;Premissas!$G$10,0,Premissas!$G$12)</f>
        <v>0</v>
      </c>
      <c r="C4" s="1">
        <f>IF(A4&lt;Premissas!$G$10,0,IF(Apoio!A4=Premissas!$G$10,Premissas!$G$11,INDEX($E:$E,ROW()-1)))</f>
        <v>0</v>
      </c>
      <c r="D4" s="5">
        <f>IF(A4&lt;Premissas!$G$10,0,IF(Premissas!$G$13=0,0,Apoio!C4*((1+Premissas!$G$13)^12-1)+Apoio!B4*(((1+Premissas!$G$13)^11-1)/Premissas!$G$13)))</f>
        <v>0</v>
      </c>
      <c r="E4" s="1">
        <f t="shared" si="2"/>
        <v>0</v>
      </c>
      <c r="F4" s="1">
        <f>IF(A4&lt;Idade_atual,0,Apoio!E4/(1+Inflaçao_anual)^(Apoio!A4-Idade_atual+1))</f>
        <v>0</v>
      </c>
      <c r="G4" s="1">
        <f t="shared" si="0"/>
        <v>0</v>
      </c>
      <c r="H4" s="1">
        <f t="shared" si="1"/>
        <v>0</v>
      </c>
    </row>
    <row r="5" spans="1:8" x14ac:dyDescent="0.25">
      <c r="A5">
        <v>3</v>
      </c>
      <c r="B5" s="1">
        <f>IF(A5&lt;Premissas!$G$10,0,Premissas!$G$12)</f>
        <v>0</v>
      </c>
      <c r="C5" s="1">
        <f>IF(A5&lt;Premissas!$G$10,0,IF(Apoio!A5=Premissas!$G$10,Premissas!$G$11,INDEX($E:$E,ROW()-1)))</f>
        <v>0</v>
      </c>
      <c r="D5" s="5">
        <f>IF(A5&lt;Premissas!$G$10,0,IF(Premissas!$G$13=0,0,Apoio!C5*((1+Premissas!$G$13)^12-1)+Apoio!B5*(((1+Premissas!$G$13)^11-1)/Premissas!$G$13)))</f>
        <v>0</v>
      </c>
      <c r="E5" s="1">
        <f t="shared" si="2"/>
        <v>0</v>
      </c>
      <c r="F5" s="1">
        <f>IF(A5&lt;Idade_atual,0,Apoio!E5/(1+Inflaçao_anual)^(Apoio!A5-Idade_atual+1))</f>
        <v>0</v>
      </c>
      <c r="G5" s="1">
        <f t="shared" si="0"/>
        <v>0</v>
      </c>
      <c r="H5" s="1">
        <f t="shared" si="1"/>
        <v>0</v>
      </c>
    </row>
    <row r="6" spans="1:8" x14ac:dyDescent="0.25">
      <c r="A6">
        <v>4</v>
      </c>
      <c r="B6" s="1">
        <f>IF(A6&lt;Premissas!$G$10,0,Premissas!$G$12)</f>
        <v>0</v>
      </c>
      <c r="C6" s="1">
        <f>IF(A6&lt;Premissas!$G$10,0,IF(Apoio!A6=Premissas!$G$10,Premissas!$G$11,INDEX($E:$E,ROW()-1)))</f>
        <v>0</v>
      </c>
      <c r="D6" s="5">
        <f>IF(A6&lt;Premissas!$G$10,0,IF(Premissas!$G$13=0,0,Apoio!C6*((1+Premissas!$G$13)^12-1)+Apoio!B6*(((1+Premissas!$G$13)^11-1)/Premissas!$G$13)))</f>
        <v>0</v>
      </c>
      <c r="E6" s="1">
        <f t="shared" si="2"/>
        <v>0</v>
      </c>
      <c r="F6" s="1">
        <f>IF(A6&lt;Idade_atual,0,Apoio!E6/(1+Inflaçao_anual)^(Apoio!A6-Idade_atual+1))</f>
        <v>0</v>
      </c>
      <c r="G6" s="1">
        <f t="shared" si="0"/>
        <v>0</v>
      </c>
      <c r="H6" s="1">
        <f t="shared" si="1"/>
        <v>0</v>
      </c>
    </row>
    <row r="7" spans="1:8" x14ac:dyDescent="0.25">
      <c r="A7">
        <v>5</v>
      </c>
      <c r="B7" s="1">
        <f>IF(A7&lt;Premissas!$G$10,0,Premissas!$G$12)</f>
        <v>0</v>
      </c>
      <c r="C7" s="1">
        <f>IF(A7&lt;Premissas!$G$10,0,IF(Apoio!A7=Premissas!$G$10,Premissas!$G$11,INDEX($E:$E,ROW()-1)))</f>
        <v>0</v>
      </c>
      <c r="D7" s="5">
        <f>IF(A7&lt;Premissas!$G$10,0,IF(Premissas!$G$13=0,0,Apoio!C7*((1+Premissas!$G$13)^12-1)+Apoio!B7*(((1+Premissas!$G$13)^11-1)/Premissas!$G$13)))</f>
        <v>0</v>
      </c>
      <c r="E7" s="1">
        <f t="shared" si="2"/>
        <v>0</v>
      </c>
      <c r="F7" s="1">
        <f>IF(A7&lt;Idade_atual,0,Apoio!E7/(1+Inflaçao_anual)^(Apoio!A7-Idade_atual+1))</f>
        <v>0</v>
      </c>
      <c r="G7" s="1">
        <f t="shared" si="0"/>
        <v>0</v>
      </c>
      <c r="H7" s="1">
        <f t="shared" si="1"/>
        <v>0</v>
      </c>
    </row>
    <row r="8" spans="1:8" x14ac:dyDescent="0.25">
      <c r="A8">
        <v>6</v>
      </c>
      <c r="B8" s="1">
        <f>IF(A8&lt;Premissas!$G$10,0,Premissas!$G$12)</f>
        <v>0</v>
      </c>
      <c r="C8" s="1">
        <f>IF(A8&lt;Premissas!$G$10,0,IF(Apoio!A8=Premissas!$G$10,Premissas!$G$11,INDEX($E:$E,ROW()-1)))</f>
        <v>0</v>
      </c>
      <c r="D8" s="5">
        <f>IF(A8&lt;Premissas!$G$10,0,IF(Premissas!$G$13=0,0,Apoio!C8*((1+Premissas!$G$13)^12-1)+Apoio!B8*(((1+Premissas!$G$13)^11-1)/Premissas!$G$13)))</f>
        <v>0</v>
      </c>
      <c r="E8" s="1">
        <f t="shared" si="2"/>
        <v>0</v>
      </c>
      <c r="F8" s="1">
        <f>IF(A8&lt;Idade_atual,0,Apoio!E8/(1+Inflaçao_anual)^(Apoio!A8-Idade_atual+1))</f>
        <v>0</v>
      </c>
      <c r="G8" s="1">
        <f t="shared" si="0"/>
        <v>0</v>
      </c>
      <c r="H8" s="1">
        <f t="shared" si="1"/>
        <v>0</v>
      </c>
    </row>
    <row r="9" spans="1:8" x14ac:dyDescent="0.25">
      <c r="A9">
        <v>7</v>
      </c>
      <c r="B9" s="1">
        <f>IF(A9&lt;Premissas!$G$10,0,Premissas!$G$12)</f>
        <v>0</v>
      </c>
      <c r="C9" s="1">
        <f>IF(A9&lt;Premissas!$G$10,0,IF(Apoio!A9=Premissas!$G$10,Premissas!$G$11,INDEX($E:$E,ROW()-1)))</f>
        <v>0</v>
      </c>
      <c r="D9" s="5">
        <f>IF(A9&lt;Premissas!$G$10,0,IF(Premissas!$G$13=0,0,Apoio!C9*((1+Premissas!$G$13)^12-1)+Apoio!B9*(((1+Premissas!$G$13)^11-1)/Premissas!$G$13)))</f>
        <v>0</v>
      </c>
      <c r="E9" s="1">
        <f t="shared" si="2"/>
        <v>0</v>
      </c>
      <c r="F9" s="1">
        <f>IF(A9&lt;Idade_atual,0,Apoio!E9/(1+Inflaçao_anual)^(Apoio!A9-Idade_atual+1))</f>
        <v>0</v>
      </c>
      <c r="G9" s="1">
        <f t="shared" si="0"/>
        <v>0</v>
      </c>
      <c r="H9" s="1">
        <f t="shared" si="1"/>
        <v>0</v>
      </c>
    </row>
    <row r="10" spans="1:8" x14ac:dyDescent="0.25">
      <c r="A10">
        <v>8</v>
      </c>
      <c r="B10" s="1">
        <f>IF(A10&lt;Premissas!$G$10,0,Premissas!$G$12)</f>
        <v>0</v>
      </c>
      <c r="C10" s="1">
        <f>IF(A10&lt;Premissas!$G$10,0,IF(Apoio!A10=Premissas!$G$10,Premissas!$G$11,INDEX($E:$E,ROW()-1)))</f>
        <v>0</v>
      </c>
      <c r="D10" s="5">
        <f>IF(A10&lt;Premissas!$G$10,0,IF(Premissas!$G$13=0,0,Apoio!C10*((1+Premissas!$G$13)^12-1)+Apoio!B10*(((1+Premissas!$G$13)^11-1)/Premissas!$G$13)))</f>
        <v>0</v>
      </c>
      <c r="E10" s="1">
        <f t="shared" si="2"/>
        <v>0</v>
      </c>
      <c r="F10" s="1">
        <f>IF(A10&lt;Idade_atual,0,Apoio!E10/(1+Inflaçao_anual)^(Apoio!A10-Idade_atual+1))</f>
        <v>0</v>
      </c>
      <c r="G10" s="1">
        <f t="shared" si="0"/>
        <v>0</v>
      </c>
      <c r="H10" s="1">
        <f t="shared" si="1"/>
        <v>0</v>
      </c>
    </row>
    <row r="11" spans="1:8" x14ac:dyDescent="0.25">
      <c r="A11">
        <v>9</v>
      </c>
      <c r="B11" s="1">
        <f>IF(A11&lt;Premissas!$G$10,0,Premissas!$G$12)</f>
        <v>0</v>
      </c>
      <c r="C11" s="1">
        <f>IF(A11&lt;Premissas!$G$10,0,IF(Apoio!A11=Premissas!$G$10,Premissas!$G$11,INDEX($E:$E,ROW()-1)))</f>
        <v>0</v>
      </c>
      <c r="D11" s="5">
        <f>IF(A11&lt;Premissas!$G$10,0,IF(Premissas!$G$13=0,0,Apoio!C11*((1+Premissas!$G$13)^12-1)+Apoio!B11*(((1+Premissas!$G$13)^11-1)/Premissas!$G$13)))</f>
        <v>0</v>
      </c>
      <c r="E11" s="1">
        <f t="shared" si="2"/>
        <v>0</v>
      </c>
      <c r="F11" s="1">
        <f>IF(A11&lt;Idade_atual,0,Apoio!E11/(1+Inflaçao_anual)^(Apoio!A11-Idade_atual+1))</f>
        <v>0</v>
      </c>
      <c r="G11" s="1">
        <f t="shared" si="0"/>
        <v>0</v>
      </c>
      <c r="H11" s="1">
        <f t="shared" si="1"/>
        <v>0</v>
      </c>
    </row>
    <row r="12" spans="1:8" x14ac:dyDescent="0.25">
      <c r="A12">
        <v>10</v>
      </c>
      <c r="B12" s="1">
        <f>IF(A12&lt;Premissas!$G$10,0,Premissas!$G$12)</f>
        <v>0</v>
      </c>
      <c r="C12" s="1">
        <f>IF(A12&lt;Premissas!$G$10,0,IF(Apoio!A12=Premissas!$G$10,Premissas!$G$11,INDEX($E:$E,ROW()-1)))</f>
        <v>0</v>
      </c>
      <c r="D12" s="5">
        <f>IF(A12&lt;Premissas!$G$10,0,IF(Premissas!$G$13=0,0,Apoio!C12*((1+Premissas!$G$13)^12-1)+Apoio!B12*(((1+Premissas!$G$13)^11-1)/Premissas!$G$13)))</f>
        <v>0</v>
      </c>
      <c r="E12" s="1">
        <f t="shared" si="2"/>
        <v>0</v>
      </c>
      <c r="F12" s="1">
        <f>IF(A12&lt;Idade_atual,0,Apoio!E12/(1+Inflaçao_anual)^(Apoio!A12-Idade_atual+1))</f>
        <v>0</v>
      </c>
      <c r="G12" s="1">
        <f t="shared" si="0"/>
        <v>0</v>
      </c>
      <c r="H12" s="1">
        <f t="shared" si="1"/>
        <v>0</v>
      </c>
    </row>
    <row r="13" spans="1:8" x14ac:dyDescent="0.25">
      <c r="A13">
        <v>11</v>
      </c>
      <c r="B13" s="1">
        <f>IF(A13&lt;Premissas!$G$10,0,Premissas!$G$12)</f>
        <v>0</v>
      </c>
      <c r="C13" s="1">
        <f>IF(A13&lt;Premissas!$G$10,0,IF(Apoio!A13=Premissas!$G$10,Premissas!$G$11,INDEX($E:$E,ROW()-1)))</f>
        <v>0</v>
      </c>
      <c r="D13" s="5">
        <f>IF(A13&lt;Premissas!$G$10,0,IF(Premissas!$G$13=0,0,Apoio!C13*((1+Premissas!$G$13)^12-1)+Apoio!B13*(((1+Premissas!$G$13)^11-1)/Premissas!$G$13)))</f>
        <v>0</v>
      </c>
      <c r="E13" s="1">
        <f t="shared" si="2"/>
        <v>0</v>
      </c>
      <c r="F13" s="1">
        <f>IF(A13&lt;Idade_atual,0,Apoio!E13/(1+Inflaçao_anual)^(Apoio!A13-Idade_atual+1))</f>
        <v>0</v>
      </c>
      <c r="G13" s="1">
        <f t="shared" si="0"/>
        <v>0</v>
      </c>
      <c r="H13" s="1">
        <f t="shared" si="1"/>
        <v>0</v>
      </c>
    </row>
    <row r="14" spans="1:8" x14ac:dyDescent="0.25">
      <c r="A14">
        <v>12</v>
      </c>
      <c r="B14" s="1">
        <f>IF(A14&lt;Premissas!$G$10,0,Premissas!$G$12)</f>
        <v>0</v>
      </c>
      <c r="C14" s="1">
        <f>IF(A14&lt;Premissas!$G$10,0,IF(Apoio!A14=Premissas!$G$10,Premissas!$G$11,INDEX($E:$E,ROW()-1)))</f>
        <v>0</v>
      </c>
      <c r="D14" s="5">
        <f>IF(A14&lt;Premissas!$G$10,0,IF(Premissas!$G$13=0,0,Apoio!C14*((1+Premissas!$G$13)^12-1)+Apoio!B14*(((1+Premissas!$G$13)^11-1)/Premissas!$G$13)))</f>
        <v>0</v>
      </c>
      <c r="E14" s="1">
        <f t="shared" si="2"/>
        <v>0</v>
      </c>
      <c r="F14" s="1">
        <f>IF(A14&lt;Idade_atual,0,Apoio!E14/(1+Inflaçao_anual)^(Apoio!A14-Idade_atual+1))</f>
        <v>0</v>
      </c>
      <c r="G14" s="1">
        <f t="shared" si="0"/>
        <v>0</v>
      </c>
      <c r="H14" s="1">
        <f t="shared" si="1"/>
        <v>0</v>
      </c>
    </row>
    <row r="15" spans="1:8" x14ac:dyDescent="0.25">
      <c r="A15">
        <v>13</v>
      </c>
      <c r="B15" s="1">
        <f>IF(A15&lt;Premissas!$G$10,0,Premissas!$G$12)</f>
        <v>0</v>
      </c>
      <c r="C15" s="1">
        <f>IF(A15&lt;Premissas!$G$10,0,IF(Apoio!A15=Premissas!$G$10,Premissas!$G$11,INDEX($E:$E,ROW()-1)))</f>
        <v>0</v>
      </c>
      <c r="D15" s="5">
        <f>IF(A15&lt;Premissas!$G$10,0,IF(Premissas!$G$13=0,0,Apoio!C15*((1+Premissas!$G$13)^12-1)+Apoio!B15*(((1+Premissas!$G$13)^11-1)/Premissas!$G$13)))</f>
        <v>0</v>
      </c>
      <c r="E15" s="1">
        <f t="shared" si="2"/>
        <v>0</v>
      </c>
      <c r="F15" s="1">
        <f>IF(A15&lt;Idade_atual,0,Apoio!E15/(1+Inflaçao_anual)^(Apoio!A15-Idade_atual+1))</f>
        <v>0</v>
      </c>
      <c r="G15" s="1">
        <f t="shared" si="0"/>
        <v>0</v>
      </c>
      <c r="H15" s="1">
        <f t="shared" si="1"/>
        <v>0</v>
      </c>
    </row>
    <row r="16" spans="1:8" x14ac:dyDescent="0.25">
      <c r="A16">
        <v>14</v>
      </c>
      <c r="B16" s="1">
        <f>IF(A16&lt;Premissas!$G$10,0,Premissas!$G$12)</f>
        <v>0</v>
      </c>
      <c r="C16" s="1">
        <f>IF(A16&lt;Premissas!$G$10,0,IF(Apoio!A16=Premissas!$G$10,Premissas!$G$11,INDEX($E:$E,ROW()-1)))</f>
        <v>0</v>
      </c>
      <c r="D16" s="5">
        <f>IF(A16&lt;Premissas!$G$10,0,IF(Premissas!$G$13=0,0,Apoio!C16*((1+Premissas!$G$13)^12-1)+Apoio!B16*(((1+Premissas!$G$13)^11-1)/Premissas!$G$13)))</f>
        <v>0</v>
      </c>
      <c r="E16" s="1">
        <f t="shared" si="2"/>
        <v>0</v>
      </c>
      <c r="F16" s="1">
        <f>IF(A16&lt;Idade_atual,0,Apoio!E16/(1+Inflaçao_anual)^(Apoio!A16-Idade_atual+1))</f>
        <v>0</v>
      </c>
      <c r="G16" s="1">
        <f t="shared" si="0"/>
        <v>0</v>
      </c>
      <c r="H16" s="1">
        <f t="shared" si="1"/>
        <v>0</v>
      </c>
    </row>
    <row r="17" spans="1:8" x14ac:dyDescent="0.25">
      <c r="A17">
        <v>15</v>
      </c>
      <c r="B17" s="1">
        <f>IF(A17&lt;Premissas!$G$10,0,Premissas!$G$12)</f>
        <v>0</v>
      </c>
      <c r="C17" s="1">
        <f>IF(A17&lt;Premissas!$G$10,0,IF(Apoio!A17=Premissas!$G$10,Premissas!$G$11,INDEX($E:$E,ROW()-1)))</f>
        <v>0</v>
      </c>
      <c r="D17" s="5">
        <f>IF(A17&lt;Premissas!$G$10,0,IF(Premissas!$G$13=0,0,Apoio!C17*((1+Premissas!$G$13)^12-1)+Apoio!B17*(((1+Premissas!$G$13)^11-1)/Premissas!$G$13)))</f>
        <v>0</v>
      </c>
      <c r="E17" s="1">
        <f t="shared" si="2"/>
        <v>0</v>
      </c>
      <c r="F17" s="1">
        <f>IF(A17&lt;Idade_atual,0,Apoio!E17/(1+Inflaçao_anual)^(Apoio!A17-Idade_atual+1))</f>
        <v>0</v>
      </c>
      <c r="G17" s="1">
        <f t="shared" si="0"/>
        <v>0</v>
      </c>
      <c r="H17" s="1">
        <f t="shared" si="1"/>
        <v>0</v>
      </c>
    </row>
    <row r="18" spans="1:8" x14ac:dyDescent="0.25">
      <c r="A18">
        <v>16</v>
      </c>
      <c r="B18" s="1">
        <f>IF(A18&lt;Premissas!$G$10,0,Premissas!$G$12)</f>
        <v>0</v>
      </c>
      <c r="C18" s="1">
        <f>IF(A18&lt;Premissas!$G$10,0,IF(Apoio!A18=Premissas!$G$10,Premissas!$G$11,INDEX($E:$E,ROW()-1)))</f>
        <v>0</v>
      </c>
      <c r="D18" s="5">
        <f>IF(A18&lt;Premissas!$G$10,0,IF(Premissas!$G$13=0,0,Apoio!C18*((1+Premissas!$G$13)^12-1)+Apoio!B18*(((1+Premissas!$G$13)^11-1)/Premissas!$G$13)))</f>
        <v>0</v>
      </c>
      <c r="E18" s="1">
        <f t="shared" si="2"/>
        <v>0</v>
      </c>
      <c r="F18" s="1">
        <f>IF(A18&lt;Idade_atual,0,Apoio!E18/(1+Inflaçao_anual)^(Apoio!A18-Idade_atual+1))</f>
        <v>0</v>
      </c>
      <c r="G18" s="1">
        <f t="shared" si="0"/>
        <v>0</v>
      </c>
      <c r="H18" s="1">
        <f t="shared" si="1"/>
        <v>0</v>
      </c>
    </row>
    <row r="19" spans="1:8" x14ac:dyDescent="0.25">
      <c r="A19">
        <v>17</v>
      </c>
      <c r="B19" s="1">
        <f>IF(A19&lt;Premissas!$G$10,0,Premissas!$G$12)</f>
        <v>0</v>
      </c>
      <c r="C19" s="1">
        <f>IF(A19&lt;Premissas!$G$10,0,IF(Apoio!A19=Premissas!$G$10,Premissas!$G$11,INDEX($E:$E,ROW()-1)))</f>
        <v>0</v>
      </c>
      <c r="D19" s="5">
        <f>IF(A19&lt;Premissas!$G$10,0,IF(Premissas!$G$13=0,0,Apoio!C19*((1+Premissas!$G$13)^12-1)+Apoio!B19*(((1+Premissas!$G$13)^11-1)/Premissas!$G$13)))</f>
        <v>0</v>
      </c>
      <c r="E19" s="1">
        <f t="shared" si="2"/>
        <v>0</v>
      </c>
      <c r="F19" s="1">
        <f>IF(A19&lt;Idade_atual,0,Apoio!E19/(1+Inflaçao_anual)^(Apoio!A19-Idade_atual+1))</f>
        <v>0</v>
      </c>
      <c r="G19" s="1">
        <f t="shared" si="0"/>
        <v>0</v>
      </c>
      <c r="H19" s="1">
        <f t="shared" si="1"/>
        <v>0</v>
      </c>
    </row>
    <row r="20" spans="1:8" x14ac:dyDescent="0.25">
      <c r="A20">
        <v>18</v>
      </c>
      <c r="B20" s="1">
        <f>IF(A20&lt;Premissas!$G$10,0,Premissas!$G$12)</f>
        <v>0</v>
      </c>
      <c r="C20" s="1">
        <f>IF(A20&lt;Premissas!$G$10,0,IF(Apoio!A20=Premissas!$G$10,Premissas!$G$11,INDEX($E:$E,ROW()-1)))</f>
        <v>0</v>
      </c>
      <c r="D20" s="5">
        <f>IF(A20&lt;Premissas!$G$10,0,IF(Premissas!$G$13=0,0,Apoio!C20*((1+Premissas!$G$13)^12-1)+Apoio!B20*(((1+Premissas!$G$13)^11-1)/Premissas!$G$13)))</f>
        <v>0</v>
      </c>
      <c r="E20" s="1">
        <f t="shared" si="2"/>
        <v>0</v>
      </c>
      <c r="F20" s="1">
        <f>IF(A20&lt;Idade_atual,0,Apoio!E20/(1+Inflaçao_anual)^(Apoio!A20-Idade_atual+1))</f>
        <v>0</v>
      </c>
      <c r="G20" s="1">
        <f t="shared" si="0"/>
        <v>0</v>
      </c>
      <c r="H20" s="1">
        <f t="shared" si="1"/>
        <v>0</v>
      </c>
    </row>
    <row r="21" spans="1:8" x14ac:dyDescent="0.25">
      <c r="A21">
        <v>19</v>
      </c>
      <c r="B21" s="1">
        <f>IF(A21&lt;Premissas!$G$10,0,Premissas!$G$12)</f>
        <v>0</v>
      </c>
      <c r="C21" s="1">
        <f>IF(A21&lt;Premissas!$G$10,0,IF(Apoio!A21=Premissas!$G$10,Premissas!$G$11,INDEX($E:$E,ROW()-1)))</f>
        <v>0</v>
      </c>
      <c r="D21" s="5">
        <f>IF(A21&lt;Premissas!$G$10,0,IF(Premissas!$G$13=0,0,Apoio!C21*((1+Premissas!$G$13)^12-1)+Apoio!B21*(((1+Premissas!$G$13)^11-1)/Premissas!$G$13)))</f>
        <v>0</v>
      </c>
      <c r="E21" s="1">
        <f t="shared" si="2"/>
        <v>0</v>
      </c>
      <c r="F21" s="1">
        <f>IF(A21&lt;Idade_atual,0,Apoio!E21/(1+Inflaçao_anual)^(Apoio!A21-Idade_atual+1))</f>
        <v>0</v>
      </c>
      <c r="G21" s="1">
        <f t="shared" si="0"/>
        <v>0</v>
      </c>
      <c r="H21" s="1">
        <f t="shared" si="1"/>
        <v>0</v>
      </c>
    </row>
    <row r="22" spans="1:8" x14ac:dyDescent="0.25">
      <c r="A22">
        <v>20</v>
      </c>
      <c r="B22" s="1">
        <f>IF(A22&lt;Premissas!$G$10,0,Premissas!$G$12)</f>
        <v>0</v>
      </c>
      <c r="C22" s="1">
        <f>IF(A22&lt;Premissas!$G$10,0,IF(Apoio!A22=Premissas!$G$10,Premissas!$G$11,INDEX($E:$E,ROW()-1)))</f>
        <v>0</v>
      </c>
      <c r="D22" s="5">
        <f>IF(A22&lt;Premissas!$G$10,0,IF(Premissas!$G$13=0,0,Apoio!C22*((1+Premissas!$G$13)^12-1)+Apoio!B22*(((1+Premissas!$G$13)^11-1)/Premissas!$G$13)))</f>
        <v>0</v>
      </c>
      <c r="E22" s="1">
        <f t="shared" si="2"/>
        <v>0</v>
      </c>
      <c r="F22" s="1">
        <f>IF(A22&lt;Idade_atual,0,Apoio!E22/(1+Inflaçao_anual)^(Apoio!A22-Idade_atual+1))</f>
        <v>0</v>
      </c>
      <c r="G22" s="1">
        <f t="shared" si="0"/>
        <v>0</v>
      </c>
      <c r="H22" s="1">
        <f t="shared" si="1"/>
        <v>0</v>
      </c>
    </row>
    <row r="23" spans="1:8" x14ac:dyDescent="0.25">
      <c r="A23">
        <v>21</v>
      </c>
      <c r="B23" s="1">
        <f>IF(A23&lt;Premissas!$G$10,0,Premissas!$G$12)</f>
        <v>0</v>
      </c>
      <c r="C23" s="1">
        <f>IF(A23&lt;Premissas!$G$10,0,IF(Apoio!A23=Premissas!$G$10,Premissas!$G$11,INDEX($E:$E,ROW()-1)))</f>
        <v>0</v>
      </c>
      <c r="D23" s="5">
        <f>IF(A23&lt;Premissas!$G$10,0,IF(Premissas!$G$13=0,0,Apoio!C23*((1+Premissas!$G$13)^12-1)+Apoio!B23*(((1+Premissas!$G$13)^11-1)/Premissas!$G$13)))</f>
        <v>0</v>
      </c>
      <c r="E23" s="1">
        <f t="shared" si="2"/>
        <v>0</v>
      </c>
      <c r="F23" s="1">
        <f>IF(A23&lt;Idade_atual,0,Apoio!E23/(1+Inflaçao_anual)^(Apoio!A23-Idade_atual+1))</f>
        <v>0</v>
      </c>
      <c r="G23" s="1">
        <f t="shared" si="0"/>
        <v>0</v>
      </c>
      <c r="H23" s="1">
        <f t="shared" si="1"/>
        <v>0</v>
      </c>
    </row>
    <row r="24" spans="1:8" x14ac:dyDescent="0.25">
      <c r="A24">
        <v>22</v>
      </c>
      <c r="B24" s="1">
        <f>IF(A24&lt;Premissas!$G$10,0,Premissas!$G$12)</f>
        <v>0</v>
      </c>
      <c r="C24" s="1">
        <f>IF(A24&lt;Premissas!$G$10,0,IF(Apoio!A24=Premissas!$G$10,Premissas!$G$11,INDEX($E:$E,ROW()-1)))</f>
        <v>0</v>
      </c>
      <c r="D24" s="5">
        <f>IF(A24&lt;Premissas!$G$10,0,IF(Premissas!$G$13=0,0,Apoio!C24*((1+Premissas!$G$13)^12-1)+Apoio!B24*(((1+Premissas!$G$13)^11-1)/Premissas!$G$13)))</f>
        <v>0</v>
      </c>
      <c r="E24" s="1">
        <f t="shared" si="2"/>
        <v>0</v>
      </c>
      <c r="F24" s="1">
        <f>IF(A24&lt;Idade_atual,0,Apoio!E24/(1+Inflaçao_anual)^(Apoio!A24-Idade_atual+1))</f>
        <v>0</v>
      </c>
      <c r="G24" s="1">
        <f t="shared" si="0"/>
        <v>0</v>
      </c>
      <c r="H24" s="1">
        <f t="shared" si="1"/>
        <v>0</v>
      </c>
    </row>
    <row r="25" spans="1:8" x14ac:dyDescent="0.25">
      <c r="A25">
        <v>23</v>
      </c>
      <c r="B25" s="1">
        <f>IF(A25&lt;Premissas!$G$10,0,Premissas!$G$12)</f>
        <v>0</v>
      </c>
      <c r="C25" s="1">
        <f>IF(A25&lt;Premissas!$G$10,0,IF(Apoio!A25=Premissas!$G$10,Premissas!$G$11,INDEX($E:$E,ROW()-1)))</f>
        <v>0</v>
      </c>
      <c r="D25" s="5">
        <f>IF(A25&lt;Premissas!$G$10,0,IF(Premissas!$G$13=0,0,Apoio!C25*((1+Premissas!$G$13)^12-1)+Apoio!B25*(((1+Premissas!$G$13)^11-1)/Premissas!$G$13)))</f>
        <v>0</v>
      </c>
      <c r="E25" s="1">
        <f t="shared" si="2"/>
        <v>0</v>
      </c>
      <c r="F25" s="1">
        <f>IF(A25&lt;Idade_atual,0,Apoio!E25/(1+Inflaçao_anual)^(Apoio!A25-Idade_atual+1))</f>
        <v>0</v>
      </c>
      <c r="G25" s="1">
        <f t="shared" si="0"/>
        <v>0</v>
      </c>
      <c r="H25" s="1">
        <f t="shared" si="1"/>
        <v>0</v>
      </c>
    </row>
    <row r="26" spans="1:8" x14ac:dyDescent="0.25">
      <c r="A26">
        <v>24</v>
      </c>
      <c r="B26" s="1">
        <f>IF(A26&lt;Premissas!$G$10,0,Premissas!$G$12)</f>
        <v>0</v>
      </c>
      <c r="C26" s="1">
        <f>IF(A26&lt;Premissas!$G$10,0,IF(Apoio!A26=Premissas!$G$10,Premissas!$G$11,INDEX($E:$E,ROW()-1)))</f>
        <v>0</v>
      </c>
      <c r="D26" s="5">
        <f>IF(A26&lt;Premissas!$G$10,0,IF(Premissas!$G$13=0,0,Apoio!C26*((1+Premissas!$G$13)^12-1)+Apoio!B26*(((1+Premissas!$G$13)^11-1)/Premissas!$G$13)))</f>
        <v>0</v>
      </c>
      <c r="E26" s="1">
        <f t="shared" si="2"/>
        <v>0</v>
      </c>
      <c r="F26" s="1">
        <f>IF(A26&lt;Idade_atual,0,Apoio!E26/(1+Inflaçao_anual)^(Apoio!A26-Idade_atual+1))</f>
        <v>0</v>
      </c>
      <c r="G26" s="1">
        <f t="shared" si="0"/>
        <v>0</v>
      </c>
      <c r="H26" s="1">
        <f t="shared" si="1"/>
        <v>0</v>
      </c>
    </row>
    <row r="27" spans="1:8" x14ac:dyDescent="0.25">
      <c r="A27">
        <v>25</v>
      </c>
      <c r="B27" s="1">
        <f>IF(A27&lt;Premissas!$G$10,0,Premissas!$G$12)</f>
        <v>0</v>
      </c>
      <c r="C27" s="1">
        <f>IF(A27&lt;Premissas!$G$10,0,IF(Apoio!A27=Premissas!$G$10,Premissas!$G$11,INDEX($E:$E,ROW()-1)))</f>
        <v>0</v>
      </c>
      <c r="D27" s="5">
        <f>IF(A27&lt;Premissas!$G$10,0,IF(Premissas!$G$13=0,0,Apoio!C27*((1+Premissas!$G$13)^12-1)+Apoio!B27*(((1+Premissas!$G$13)^11-1)/Premissas!$G$13)))</f>
        <v>0</v>
      </c>
      <c r="E27" s="1">
        <f t="shared" si="2"/>
        <v>0</v>
      </c>
      <c r="F27" s="1">
        <f>IF(A27&lt;Idade_atual,0,Apoio!E27/(1+Inflaçao_anual)^(Apoio!A27-Idade_atual+1))</f>
        <v>0</v>
      </c>
      <c r="G27" s="1">
        <f t="shared" si="0"/>
        <v>0</v>
      </c>
      <c r="H27" s="1">
        <f t="shared" si="1"/>
        <v>0</v>
      </c>
    </row>
    <row r="28" spans="1:8" x14ac:dyDescent="0.25">
      <c r="A28">
        <v>26</v>
      </c>
      <c r="B28" s="1">
        <f>IF(A28&lt;Premissas!$G$10,0,Premissas!$G$12)</f>
        <v>0</v>
      </c>
      <c r="C28" s="1">
        <f>IF(A28&lt;Premissas!$G$10,0,IF(Apoio!A28=Premissas!$G$10,Premissas!$G$11,INDEX($E:$E,ROW()-1)))</f>
        <v>0</v>
      </c>
      <c r="D28" s="5">
        <f>IF(A28&lt;Premissas!$G$10,0,IF(Premissas!$G$13=0,0,Apoio!C28*((1+Premissas!$G$13)^12-1)+Apoio!B28*(((1+Premissas!$G$13)^11-1)/Premissas!$G$13)))</f>
        <v>0</v>
      </c>
      <c r="E28" s="1">
        <f t="shared" si="2"/>
        <v>0</v>
      </c>
      <c r="F28" s="1">
        <f>IF(A28&lt;Idade_atual,0,Apoio!E28/(1+Inflaçao_anual)^(Apoio!A28-Idade_atual+1))</f>
        <v>0</v>
      </c>
      <c r="G28" s="1">
        <f t="shared" si="0"/>
        <v>0</v>
      </c>
      <c r="H28" s="1">
        <f t="shared" si="1"/>
        <v>0</v>
      </c>
    </row>
    <row r="29" spans="1:8" x14ac:dyDescent="0.25">
      <c r="A29">
        <v>27</v>
      </c>
      <c r="B29" s="1">
        <f>IF(A29&lt;Premissas!$G$10,0,Premissas!$G$12)</f>
        <v>0</v>
      </c>
      <c r="C29" s="1">
        <f>IF(A29&lt;Premissas!$G$10,0,IF(Apoio!A29=Premissas!$G$10,Premissas!$G$11,INDEX($E:$E,ROW()-1)))</f>
        <v>0</v>
      </c>
      <c r="D29" s="5">
        <f>IF(A29&lt;Premissas!$G$10,0,IF(Premissas!$G$13=0,0,Apoio!C29*((1+Premissas!$G$13)^12-1)+Apoio!B29*(((1+Premissas!$G$13)^11-1)/Premissas!$G$13)))</f>
        <v>0</v>
      </c>
      <c r="E29" s="1">
        <f t="shared" si="2"/>
        <v>0</v>
      </c>
      <c r="F29" s="1">
        <f>IF(A29&lt;Idade_atual,0,Apoio!E29/(1+Inflaçao_anual)^(Apoio!A29-Idade_atual+1))</f>
        <v>0</v>
      </c>
      <c r="G29" s="1">
        <f t="shared" si="0"/>
        <v>0</v>
      </c>
      <c r="H29" s="1">
        <f t="shared" si="1"/>
        <v>0</v>
      </c>
    </row>
    <row r="30" spans="1:8" x14ac:dyDescent="0.25">
      <c r="A30">
        <v>28</v>
      </c>
      <c r="B30" s="1">
        <f>IF(A30&lt;Premissas!$G$10,0,Premissas!$G$12)</f>
        <v>0</v>
      </c>
      <c r="C30" s="1">
        <f>IF(A30&lt;Premissas!$G$10,0,IF(Apoio!A30=Premissas!$G$10,Premissas!$G$11,INDEX($E:$E,ROW()-1)))</f>
        <v>0</v>
      </c>
      <c r="D30" s="5">
        <f>IF(A30&lt;Premissas!$G$10,0,IF(Premissas!$G$13=0,0,Apoio!C30*((1+Premissas!$G$13)^12-1)+Apoio!B30*(((1+Premissas!$G$13)^11-1)/Premissas!$G$13)))</f>
        <v>0</v>
      </c>
      <c r="E30" s="1">
        <f t="shared" si="2"/>
        <v>0</v>
      </c>
      <c r="F30" s="1">
        <f>IF(A30&lt;Idade_atual,0,Apoio!E30/(1+Inflaçao_anual)^(Apoio!A30-Idade_atual+1))</f>
        <v>0</v>
      </c>
      <c r="G30" s="1">
        <f t="shared" si="0"/>
        <v>0</v>
      </c>
      <c r="H30" s="1">
        <f t="shared" si="1"/>
        <v>0</v>
      </c>
    </row>
    <row r="31" spans="1:8" x14ac:dyDescent="0.25">
      <c r="A31">
        <v>29</v>
      </c>
      <c r="B31" s="1">
        <f>IF(A31&lt;Premissas!$G$10,0,Premissas!$G$12)</f>
        <v>0</v>
      </c>
      <c r="C31" s="1">
        <f>IF(A31&lt;Premissas!$G$10,0,IF(Apoio!A31=Premissas!$G$10,Premissas!$G$11,INDEX($E:$E,ROW()-1)))</f>
        <v>0</v>
      </c>
      <c r="D31" s="5">
        <f>IF(A31&lt;Premissas!$G$10,0,IF(Premissas!$G$13=0,0,Apoio!C31*((1+Premissas!$G$13)^12-1)+Apoio!B31*(((1+Premissas!$G$13)^11-1)/Premissas!$G$13)))</f>
        <v>0</v>
      </c>
      <c r="E31" s="1">
        <f t="shared" si="2"/>
        <v>0</v>
      </c>
      <c r="F31" s="1">
        <f>IF(A31&lt;Idade_atual,0,Apoio!E31/(1+Inflaçao_anual)^(Apoio!A31-Idade_atual+1))</f>
        <v>0</v>
      </c>
      <c r="G31" s="1">
        <f t="shared" si="0"/>
        <v>0</v>
      </c>
      <c r="H31" s="1">
        <f t="shared" si="1"/>
        <v>0</v>
      </c>
    </row>
    <row r="32" spans="1:8" x14ac:dyDescent="0.25">
      <c r="A32">
        <v>30</v>
      </c>
      <c r="B32" s="1">
        <f>IF(A32&lt;Premissas!$G$10,0,Premissas!$G$12)</f>
        <v>0</v>
      </c>
      <c r="C32" s="1">
        <f>IF(A32&lt;Premissas!$G$10,0,IF(Apoio!A32=Premissas!$G$10,Premissas!$G$11,INDEX($E:$E,ROW()-1)))</f>
        <v>0</v>
      </c>
      <c r="D32" s="5">
        <f>IF(A32&lt;Premissas!$G$10,0,IF(Premissas!$G$13=0,0,Apoio!C32*((1+Premissas!$G$13)^12-1)+Apoio!B32*(((1+Premissas!$G$13)^11-1)/Premissas!$G$13)))</f>
        <v>0</v>
      </c>
      <c r="E32" s="1">
        <f t="shared" si="2"/>
        <v>0</v>
      </c>
      <c r="F32" s="1">
        <f>IF(A32&lt;Idade_atual,0,Apoio!E32/(1+Inflaçao_anual)^(Apoio!A32-Idade_atual+1))</f>
        <v>0</v>
      </c>
      <c r="G32" s="1">
        <f t="shared" si="0"/>
        <v>0</v>
      </c>
      <c r="H32" s="1">
        <f t="shared" si="1"/>
        <v>0</v>
      </c>
    </row>
    <row r="33" spans="1:8" x14ac:dyDescent="0.25">
      <c r="A33">
        <v>31</v>
      </c>
      <c r="B33" s="1">
        <f>IF(A33&lt;Premissas!$G$10,0,Premissas!$G$12)</f>
        <v>0</v>
      </c>
      <c r="C33" s="1">
        <f>IF(A33&lt;Premissas!$G$10,0,IF(Apoio!A33=Premissas!$G$10,Premissas!$G$11,INDEX($E:$E,ROW()-1)))</f>
        <v>0</v>
      </c>
      <c r="D33" s="5">
        <f>IF(A33&lt;Premissas!$G$10,0,IF(Premissas!$G$13=0,0,Apoio!C33*((1+Premissas!$G$13)^12-1)+Apoio!B33*(((1+Premissas!$G$13)^11-1)/Premissas!$G$13)))</f>
        <v>0</v>
      </c>
      <c r="E33" s="1">
        <f t="shared" si="2"/>
        <v>0</v>
      </c>
      <c r="F33" s="1">
        <f>IF(A33&lt;Idade_atual,0,Apoio!E33/(1+Inflaçao_anual)^(Apoio!A33-Idade_atual+1))</f>
        <v>0</v>
      </c>
      <c r="G33" s="1">
        <f t="shared" si="0"/>
        <v>0</v>
      </c>
      <c r="H33" s="1">
        <f t="shared" si="1"/>
        <v>0</v>
      </c>
    </row>
    <row r="34" spans="1:8" x14ac:dyDescent="0.25">
      <c r="A34">
        <v>32</v>
      </c>
      <c r="B34" s="1">
        <f>IF(A34&lt;Premissas!$G$10,0,Premissas!$G$12)</f>
        <v>1200</v>
      </c>
      <c r="C34" s="1">
        <f>IF(A34&lt;Premissas!$G$10,0,IF(Apoio!A34=Premissas!$G$10,Premissas!$G$11,INDEX($E:$E,ROW()-1)))</f>
        <v>0</v>
      </c>
      <c r="D34" s="5">
        <f>IF(A34&lt;Premissas!$G$10,0,IF(Premissas!$G$13=0,0,Apoio!C34*((1+Premissas!$G$13)^12-1)+Apoio!B34*(((1+Premissas!$G$13)^11-1)/Premissas!$G$13)))</f>
        <v>13740.877041093303</v>
      </c>
      <c r="E34" s="1">
        <f t="shared" si="2"/>
        <v>28140.877041093303</v>
      </c>
      <c r="F34" s="1">
        <f>IF(A34&lt;Idade_atual,0,Apoio!E34/(1+Inflaçao_anual)^(Apoio!A34-Idade_atual+1))</f>
        <v>26929.068938845267</v>
      </c>
      <c r="G34" s="1">
        <f t="shared" ref="G34:G65" si="3">E34*DY_mensal</f>
        <v>225.12701632874644</v>
      </c>
      <c r="H34" s="1">
        <f t="shared" ref="H34:H65" si="4">F34*DY_mensal</f>
        <v>215.43255151076212</v>
      </c>
    </row>
    <row r="35" spans="1:8" x14ac:dyDescent="0.25">
      <c r="A35">
        <v>33</v>
      </c>
      <c r="B35" s="1">
        <f>IF(A35&lt;Premissas!$G$10,0,Premissas!$G$12)</f>
        <v>1200</v>
      </c>
      <c r="C35" s="1">
        <f>IF(A35&lt;Premissas!$G$10,0,IF(Apoio!A35=Premissas!$G$10,Premissas!$G$11,INDEX($E:$E,ROW()-1)))</f>
        <v>28140.877041093303</v>
      </c>
      <c r="D35" s="5">
        <f>IF(A35&lt;Premissas!$G$10,0,IF(Premissas!$G$13=0,0,Apoio!C35*((1+Premissas!$G$13)^12-1)+Apoio!B35*(((1+Premissas!$G$13)^11-1)/Premissas!$G$13)))</f>
        <v>16564.495883423318</v>
      </c>
      <c r="E35" s="1">
        <f t="shared" si="2"/>
        <v>59105.372924516618</v>
      </c>
      <c r="F35" s="1">
        <f>IF(A35&lt;Idade_atual,0,Apoio!E35/(1+Inflaçao_anual)^(Apoio!A35-Idade_atual+1))</f>
        <v>54124.560266034779</v>
      </c>
      <c r="G35" s="1">
        <f t="shared" si="3"/>
        <v>472.84298339613298</v>
      </c>
      <c r="H35" s="1">
        <f t="shared" si="4"/>
        <v>432.99648212827822</v>
      </c>
    </row>
    <row r="36" spans="1:8" x14ac:dyDescent="0.25">
      <c r="A36">
        <v>34</v>
      </c>
      <c r="B36" s="1">
        <f>IF(A36&lt;Premissas!$G$10,0,Premissas!$G$12)</f>
        <v>1200</v>
      </c>
      <c r="C36" s="1">
        <f>IF(A36&lt;Premissas!$G$10,0,IF(Apoio!A36=Premissas!$G$10,Premissas!$G$11,INDEX($E:$E,ROW()-1)))</f>
        <v>59105.372924516618</v>
      </c>
      <c r="D36" s="5">
        <f>IF(A36&lt;Premissas!$G$10,0,IF(Premissas!$G$13=0,0,Apoio!C36*((1+Premissas!$G$13)^12-1)+Apoio!B36*(((1+Premissas!$G$13)^11-1)/Premissas!$G$13)))</f>
        <v>19671.432951945026</v>
      </c>
      <c r="E36" s="1">
        <f t="shared" si="2"/>
        <v>93176.805876461643</v>
      </c>
      <c r="F36" s="1">
        <f>IF(A36&lt;Idade_atual,0,Apoio!E36/(1+Inflaçao_anual)^(Apoio!A36-Idade_atual+1))</f>
        <v>81650.518566226863</v>
      </c>
      <c r="G36" s="1">
        <f t="shared" si="3"/>
        <v>745.41444701169314</v>
      </c>
      <c r="H36" s="1">
        <f t="shared" si="4"/>
        <v>653.20414852981492</v>
      </c>
    </row>
    <row r="37" spans="1:8" x14ac:dyDescent="0.25">
      <c r="A37">
        <v>35</v>
      </c>
      <c r="B37" s="1">
        <f>IF(A37&lt;Premissas!$G$10,0,Premissas!$G$12)</f>
        <v>1200</v>
      </c>
      <c r="C37" s="1">
        <f>IF(A37&lt;Premissas!$G$10,0,IF(Apoio!A37=Premissas!$G$10,Premissas!$G$11,INDEX($E:$E,ROW()-1)))</f>
        <v>93176.805876461643</v>
      </c>
      <c r="D37" s="5">
        <f>IF(A37&lt;Premissas!$G$10,0,IF(Premissas!$G$13=0,0,Apoio!C37*((1+Premissas!$G$13)^12-1)+Apoio!B37*(((1+Premissas!$G$13)^11-1)/Premissas!$G$13)))</f>
        <v>23090.116027380474</v>
      </c>
      <c r="E37" s="1">
        <f t="shared" si="2"/>
        <v>130666.92190384211</v>
      </c>
      <c r="F37" s="1">
        <f>IF(A37&lt;Idade_atual,0,Apoio!E37/(1+Inflaçao_anual)^(Apoio!A37-Idade_atual+1))</f>
        <v>109572.22959487552</v>
      </c>
      <c r="G37" s="1">
        <f t="shared" si="3"/>
        <v>1045.3353752307369</v>
      </c>
      <c r="H37" s="1">
        <f t="shared" si="4"/>
        <v>876.57783675900419</v>
      </c>
    </row>
    <row r="38" spans="1:8" x14ac:dyDescent="0.25">
      <c r="A38">
        <v>36</v>
      </c>
      <c r="B38" s="1">
        <f>IF(A38&lt;Premissas!$G$10,0,Premissas!$G$12)</f>
        <v>1200</v>
      </c>
      <c r="C38" s="1">
        <f>IF(A38&lt;Premissas!$G$10,0,IF(Apoio!A38=Premissas!$G$10,Premissas!$G$11,INDEX($E:$E,ROW()-1)))</f>
        <v>130666.92190384211</v>
      </c>
      <c r="D38" s="5">
        <f>IF(A38&lt;Premissas!$G$10,0,IF(Premissas!$G$13=0,0,Apoio!C38*((1+Premissas!$G$13)^12-1)+Apoio!B38*(((1+Premissas!$G$13)^11-1)/Premissas!$G$13)))</f>
        <v>26851.825296834617</v>
      </c>
      <c r="E38" s="1">
        <f t="shared" si="2"/>
        <v>171918.74720067673</v>
      </c>
      <c r="F38" s="1">
        <f>IF(A38&lt;Idade_atual,0,Apoio!E38/(1+Inflaçao_anual)^(Apoio!A38-Idade_atual+1))</f>
        <v>137956.37860426962</v>
      </c>
      <c r="G38" s="1">
        <f t="shared" si="3"/>
        <v>1375.3499776054139</v>
      </c>
      <c r="H38" s="1">
        <f t="shared" si="4"/>
        <v>1103.6510288341569</v>
      </c>
    </row>
    <row r="39" spans="1:8" x14ac:dyDescent="0.25">
      <c r="A39">
        <v>37</v>
      </c>
      <c r="B39" s="1">
        <f>IF(A39&lt;Premissas!$G$10,0,Premissas!$G$12)</f>
        <v>1200</v>
      </c>
      <c r="C39" s="1">
        <f>IF(A39&lt;Premissas!$G$10,0,IF(Apoio!A39=Premissas!$G$10,Premissas!$G$11,INDEX($E:$E,ROW()-1)))</f>
        <v>171918.74720067673</v>
      </c>
      <c r="D39" s="5">
        <f>IF(A39&lt;Premissas!$G$10,0,IF(Premissas!$G$13=0,0,Apoio!C39*((1+Premissas!$G$13)^12-1)+Apoio!B39*(((1+Premissas!$G$13)^11-1)/Premissas!$G$13)))</f>
        <v>30990.979560525713</v>
      </c>
      <c r="E39" s="1">
        <f t="shared" si="2"/>
        <v>217309.72676120244</v>
      </c>
      <c r="F39" s="1">
        <f>IF(A39&lt;Idade_atual,0,Apoio!E39/(1+Inflaçao_anual)^(Apoio!A39-Idade_atual+1))</f>
        <v>166871.21306632026</v>
      </c>
      <c r="G39" s="1">
        <f t="shared" si="3"/>
        <v>1738.4778140896196</v>
      </c>
      <c r="H39" s="1">
        <f t="shared" si="4"/>
        <v>1334.969704530562</v>
      </c>
    </row>
    <row r="40" spans="1:8" x14ac:dyDescent="0.25">
      <c r="A40">
        <v>38</v>
      </c>
      <c r="B40" s="1">
        <f>IF(A40&lt;Premissas!$G$10,0,Premissas!$G$12)</f>
        <v>1200</v>
      </c>
      <c r="C40" s="1">
        <f>IF(A40&lt;Premissas!$G$10,0,IF(Apoio!A40=Premissas!$G$10,Premissas!$G$11,INDEX($E:$E,ROW()-1)))</f>
        <v>217309.72676120244</v>
      </c>
      <c r="D40" s="5">
        <f>IF(A40&lt;Premissas!$G$10,0,IF(Premissas!$G$13=0,0,Apoio!C40*((1+Premissas!$G$13)^12-1)+Apoio!B40*(((1+Premissas!$G$13)^11-1)/Premissas!$G$13)))</f>
        <v>35545.451156125186</v>
      </c>
      <c r="E40" s="1">
        <f t="shared" si="2"/>
        <v>267255.17791732762</v>
      </c>
      <c r="F40" s="1">
        <f>IF(A40&lt;Idade_atual,0,Apoio!E40/(1+Inflaçao_anual)^(Apoio!A40-Idade_atual+1))</f>
        <v>196386.71019664028</v>
      </c>
      <c r="G40" s="1">
        <f t="shared" si="3"/>
        <v>2138.0414233386209</v>
      </c>
      <c r="H40" s="1">
        <f t="shared" si="4"/>
        <v>1571.0936815731222</v>
      </c>
    </row>
    <row r="41" spans="1:8" x14ac:dyDescent="0.25">
      <c r="A41">
        <v>39</v>
      </c>
      <c r="B41" s="1">
        <f>IF(A41&lt;Premissas!$G$10,0,Premissas!$G$12)</f>
        <v>1200</v>
      </c>
      <c r="C41" s="1">
        <f>IF(A41&lt;Premissas!$G$10,0,IF(Apoio!A41=Premissas!$G$10,Premissas!$G$11,INDEX($E:$E,ROW()-1)))</f>
        <v>267255.17791732762</v>
      </c>
      <c r="D41" s="5">
        <f>IF(A41&lt;Premissas!$G$10,0,IF(Premissas!$G$13=0,0,Apoio!C41*((1+Premissas!$G$13)^12-1)+Apoio!B41*(((1+Premissas!$G$13)^11-1)/Premissas!$G$13)))</f>
        <v>40556.912482194413</v>
      </c>
      <c r="E41" s="1">
        <f t="shared" si="2"/>
        <v>322212.09039952204</v>
      </c>
      <c r="F41" s="1">
        <f>IF(A41&lt;Idade_atual,0,Apoio!E41/(1+Inflaçao_anual)^(Apoio!A41-Idade_atual+1))</f>
        <v>226574.749698489</v>
      </c>
      <c r="G41" s="1">
        <f t="shared" si="3"/>
        <v>2577.6967231961762</v>
      </c>
      <c r="H41" s="1">
        <f t="shared" si="4"/>
        <v>1812.597997587912</v>
      </c>
    </row>
    <row r="42" spans="1:8" x14ac:dyDescent="0.25">
      <c r="A42">
        <v>40</v>
      </c>
      <c r="B42" s="1">
        <f>IF(A42&lt;Premissas!$G$10,0,Premissas!$G$12)</f>
        <v>1200</v>
      </c>
      <c r="C42" s="1">
        <f>IF(A42&lt;Premissas!$G$10,0,IF(Apoio!A42=Premissas!$G$10,Premissas!$G$11,INDEX($E:$E,ROW()-1)))</f>
        <v>322212.09039952204</v>
      </c>
      <c r="D42" s="5">
        <f>IF(A42&lt;Premissas!$G$10,0,IF(Premissas!$G$13=0,0,Apoio!C42*((1+Premissas!$G$13)^12-1)+Apoio!B42*(((1+Premissas!$G$13)^11-1)/Premissas!$G$13)))</f>
        <v>46071.217291330417</v>
      </c>
      <c r="E42" s="1">
        <f t="shared" si="2"/>
        <v>382683.30769085244</v>
      </c>
      <c r="F42" s="1">
        <f>IF(A42&lt;Idade_atual,0,Apoio!E42/(1+Inflaçao_anual)^(Apoio!A42-Idade_atual+1))</f>
        <v>257509.29216024361</v>
      </c>
      <c r="G42" s="1">
        <f t="shared" si="3"/>
        <v>3061.4664615268198</v>
      </c>
      <c r="H42" s="1">
        <f t="shared" si="4"/>
        <v>2060.0743372819488</v>
      </c>
    </row>
    <row r="43" spans="1:8" x14ac:dyDescent="0.25">
      <c r="A43">
        <v>41</v>
      </c>
      <c r="B43" s="1">
        <f>IF(A43&lt;Premissas!$G$10,0,Premissas!$G$12)</f>
        <v>1200</v>
      </c>
      <c r="C43" s="1">
        <f>IF(A43&lt;Premissas!$G$10,0,IF(Apoio!A43=Premissas!$G$10,Premissas!$G$11,INDEX($E:$E,ROW()-1)))</f>
        <v>382683.30769085244</v>
      </c>
      <c r="D43" s="5">
        <f>IF(A43&lt;Premissas!$G$10,0,IF(Premissas!$G$13=0,0,Apoio!C43*((1+Premissas!$G$13)^12-1)+Apoio!B43*(((1+Premissas!$G$13)^11-1)/Premissas!$G$13)))</f>
        <v>52138.820241767797</v>
      </c>
      <c r="E43" s="1">
        <f t="shared" si="2"/>
        <v>449222.12793262023</v>
      </c>
      <c r="F43" s="1">
        <f>IF(A43&lt;Idade_atual,0,Apoio!E43/(1+Inflaçao_anual)^(Apoio!A43-Idade_atual+1))</f>
        <v>289266.56355625571</v>
      </c>
      <c r="G43" s="1">
        <f t="shared" si="3"/>
        <v>3593.777023460962</v>
      </c>
      <c r="H43" s="1">
        <f t="shared" si="4"/>
        <v>2314.1325084500459</v>
      </c>
    </row>
    <row r="44" spans="1:8" x14ac:dyDescent="0.25">
      <c r="A44">
        <v>42</v>
      </c>
      <c r="B44" s="1">
        <f>IF(A44&lt;Premissas!$G$10,0,Premissas!$G$12)</f>
        <v>1200</v>
      </c>
      <c r="C44" s="1">
        <f>IF(A44&lt;Premissas!$G$10,0,IF(Apoio!A44=Premissas!$G$10,Premissas!$G$11,INDEX($E:$E,ROW()-1)))</f>
        <v>449222.12793262023</v>
      </c>
      <c r="D44" s="5">
        <f>IF(A44&lt;Premissas!$G$10,0,IF(Premissas!$G$13=0,0,Apoio!C44*((1+Premissas!$G$13)^12-1)+Apoio!B44*(((1+Premissas!$G$13)^11-1)/Premissas!$G$13)))</f>
        <v>58815.238546240289</v>
      </c>
      <c r="E44" s="1">
        <f t="shared" si="2"/>
        <v>522437.36647886049</v>
      </c>
      <c r="F44" s="1">
        <f>IF(A44&lt;Idade_atual,0,Apoio!E44/(1+Inflaçao_anual)^(Apoio!A44-Idade_atual+1))</f>
        <v>321925.24631828984</v>
      </c>
      <c r="G44" s="1">
        <f t="shared" si="3"/>
        <v>4179.4989318308844</v>
      </c>
      <c r="H44" s="1">
        <f t="shared" si="4"/>
        <v>2575.4019705463188</v>
      </c>
    </row>
    <row r="45" spans="1:8" x14ac:dyDescent="0.25">
      <c r="A45">
        <v>43</v>
      </c>
      <c r="B45" s="1">
        <f>IF(A45&lt;Premissas!$G$10,0,Premissas!$G$12)</f>
        <v>1200</v>
      </c>
      <c r="C45" s="1">
        <f>IF(A45&lt;Premissas!$G$10,0,IF(Apoio!A45=Premissas!$G$10,Premissas!$G$11,INDEX($E:$E,ROW()-1)))</f>
        <v>522437.36647886049</v>
      </c>
      <c r="D45" s="5">
        <f>IF(A45&lt;Premissas!$G$10,0,IF(Premissas!$G$13=0,0,Apoio!C45*((1+Premissas!$G$13)^12-1)+Apoio!B45*(((1+Premissas!$G$13)^11-1)/Premissas!$G$13)))</f>
        <v>66161.55994208614</v>
      </c>
      <c r="E45" s="1">
        <f t="shared" si="2"/>
        <v>602998.92642094661</v>
      </c>
      <c r="F45" s="1">
        <f>IF(A45&lt;Idade_atual,0,Apoio!E45/(1+Inflaçao_anual)^(Apoio!A45-Idade_atual+1))</f>
        <v>355566.67746328597</v>
      </c>
      <c r="G45" s="1">
        <f t="shared" si="3"/>
        <v>4823.9914113675732</v>
      </c>
      <c r="H45" s="1">
        <f t="shared" si="4"/>
        <v>2844.533419706288</v>
      </c>
    </row>
    <row r="46" spans="1:8" x14ac:dyDescent="0.25">
      <c r="A46">
        <v>44</v>
      </c>
      <c r="B46" s="1">
        <f>IF(A46&lt;Premissas!$G$10,0,Premissas!$G$12)</f>
        <v>1200</v>
      </c>
      <c r="C46" s="1">
        <f>IF(A46&lt;Premissas!$G$10,0,IF(Apoio!A46=Premissas!$G$10,Premissas!$G$11,INDEX($E:$E,ROW()-1)))</f>
        <v>602998.92642094661</v>
      </c>
      <c r="D46" s="5">
        <f>IF(A46&lt;Premissas!$G$10,0,IF(Premissas!$G$13=0,0,Apoio!C46*((1+Premissas!$G$13)^12-1)+Apoio!B46*(((1+Premissas!$G$13)^11-1)/Premissas!$G$13)))</f>
        <v>74245.00163041013</v>
      </c>
      <c r="E46" s="1">
        <f t="shared" si="2"/>
        <v>691643.92805135669</v>
      </c>
      <c r="F46" s="1">
        <f>IF(A46&lt;Idade_atual,0,Apoio!E46/(1+Inflaçao_anual)^(Apoio!A46-Idade_atual+1))</f>
        <v>390275.05428297236</v>
      </c>
      <c r="G46" s="1">
        <f t="shared" si="3"/>
        <v>5533.1514244108539</v>
      </c>
      <c r="H46" s="1">
        <f t="shared" si="4"/>
        <v>3122.2004342637788</v>
      </c>
    </row>
    <row r="47" spans="1:8" x14ac:dyDescent="0.25">
      <c r="A47">
        <v>45</v>
      </c>
      <c r="B47" s="1">
        <f>IF(A47&lt;Premissas!$G$10,0,Premissas!$G$12)</f>
        <v>1200</v>
      </c>
      <c r="C47" s="1">
        <f>IF(A47&lt;Premissas!$G$10,0,IF(Apoio!A47=Premissas!$G$10,Premissas!$G$11,INDEX($E:$E,ROW()-1)))</f>
        <v>691643.92805135669</v>
      </c>
      <c r="D47" s="5">
        <f>IF(A47&lt;Premissas!$G$10,0,IF(Premissas!$G$13=0,0,Apoio!C47*((1+Premissas!$G$13)^12-1)+Apoio!B47*(((1+Premissas!$G$13)^11-1)/Premissas!$G$13)))</f>
        <v>83139.525298471199</v>
      </c>
      <c r="E47" s="1">
        <f t="shared" si="2"/>
        <v>789183.45334982791</v>
      </c>
      <c r="F47" s="1">
        <f>IF(A47&lt;Idade_atual,0,Apoio!E47/(1+Inflaçao_anual)^(Apoio!A47-Idade_atual+1))</f>
        <v>426137.64812195272</v>
      </c>
      <c r="G47" s="1">
        <f t="shared" si="3"/>
        <v>6313.4676267986233</v>
      </c>
      <c r="H47" s="1">
        <f t="shared" si="4"/>
        <v>3409.1011849756219</v>
      </c>
    </row>
    <row r="48" spans="1:8" x14ac:dyDescent="0.25">
      <c r="A48">
        <v>46</v>
      </c>
      <c r="B48" s="1">
        <f>IF(A48&lt;Premissas!$G$10,0,Premissas!$G$12)</f>
        <v>1200</v>
      </c>
      <c r="C48" s="1">
        <f>IF(A48&lt;Premissas!$G$10,0,IF(Apoio!A48=Premissas!$G$10,Premissas!$G$11,INDEX($E:$E,ROW()-1)))</f>
        <v>789183.45334982791</v>
      </c>
      <c r="D48" s="5">
        <f>IF(A48&lt;Premissas!$G$10,0,IF(Premissas!$G$13=0,0,Apoio!C48*((1+Premissas!$G$13)^12-1)+Apoio!B48*(((1+Premissas!$G$13)^11-1)/Premissas!$G$13)))</f>
        <v>92926.513852612887</v>
      </c>
      <c r="E48" s="1">
        <f t="shared" si="2"/>
        <v>896509.96720244084</v>
      </c>
      <c r="F48" s="1">
        <f>IF(A48&lt;Idade_atual,0,Apoio!E48/(1+Inflaçao_anual)^(Apoio!A48-Idade_atual+1))</f>
        <v>463245.02679333981</v>
      </c>
      <c r="G48" s="1">
        <f t="shared" si="3"/>
        <v>7172.0797376195269</v>
      </c>
      <c r="H48" s="1">
        <f t="shared" si="4"/>
        <v>3705.9602143467187</v>
      </c>
    </row>
    <row r="49" spans="1:8" x14ac:dyDescent="0.25">
      <c r="A49">
        <v>47</v>
      </c>
      <c r="B49" s="1">
        <f>IF(A49&lt;Premissas!$G$10,0,Premissas!$G$12)</f>
        <v>1200</v>
      </c>
      <c r="C49" s="1">
        <f>IF(A49&lt;Premissas!$G$10,0,IF(Apoio!A49=Premissas!$G$10,Premissas!$G$11,INDEX($E:$E,ROW()-1)))</f>
        <v>896509.96720244084</v>
      </c>
      <c r="D49" s="5">
        <f>IF(A49&lt;Premissas!$G$10,0,IF(Premissas!$G$13=0,0,Apoio!C49*((1+Premissas!$G$13)^12-1)+Apoio!B49*(((1+Premissas!$G$13)^11-1)/Premissas!$G$13)))</f>
        <v>103695.51605369202</v>
      </c>
      <c r="E49" s="1">
        <f t="shared" si="2"/>
        <v>1014605.4832561328</v>
      </c>
      <c r="F49" s="1">
        <f>IF(A49&lt;Idade_atual,0,Apoio!E49/(1+Inflaçao_anual)^(Apoio!A49-Idade_atual+1))</f>
        <v>501691.2862048925</v>
      </c>
      <c r="G49" s="1">
        <f t="shared" si="3"/>
        <v>8116.8438660490629</v>
      </c>
      <c r="H49" s="1">
        <f t="shared" si="4"/>
        <v>4013.5302896391399</v>
      </c>
    </row>
    <row r="50" spans="1:8" x14ac:dyDescent="0.25">
      <c r="A50">
        <v>48</v>
      </c>
      <c r="B50" s="1">
        <f>IF(A50&lt;Premissas!$G$10,0,Premissas!$G$12)</f>
        <v>1200</v>
      </c>
      <c r="C50" s="1">
        <f>IF(A50&lt;Premissas!$G$10,0,IF(Apoio!A50=Premissas!$G$10,Premissas!$G$11,INDEX($E:$E,ROW()-1)))</f>
        <v>1014605.4832561328</v>
      </c>
      <c r="D50" s="5">
        <f>IF(A50&lt;Premissas!$G$10,0,IF(Premissas!$G$13=0,0,Apoio!C50*((1+Premissas!$G$13)^12-1)+Apoio!B50*(((1+Premissas!$G$13)^11-1)/Premissas!$G$13)))</f>
        <v>115545.06586825373</v>
      </c>
      <c r="E50" s="1">
        <f t="shared" si="2"/>
        <v>1144550.5491243866</v>
      </c>
      <c r="F50" s="1">
        <f>IF(A50&lt;Idade_atual,0,Apoio!E50/(1+Inflaçao_anual)^(Apoio!A50-Idade_atual+1))</f>
        <v>541574.29179396841</v>
      </c>
      <c r="G50" s="1">
        <f t="shared" si="3"/>
        <v>9156.4043929950931</v>
      </c>
      <c r="H50" s="1">
        <f t="shared" si="4"/>
        <v>4332.5943343517474</v>
      </c>
    </row>
    <row r="51" spans="1:8" x14ac:dyDescent="0.25">
      <c r="A51">
        <v>49</v>
      </c>
      <c r="B51" s="1">
        <f>IF(A51&lt;Premissas!$G$10,0,Premissas!$G$12)</f>
        <v>1200</v>
      </c>
      <c r="C51" s="1">
        <f>IF(A51&lt;Premissas!$G$10,0,IF(Apoio!A51=Premissas!$G$10,Premissas!$G$11,INDEX($E:$E,ROW()-1)))</f>
        <v>1144550.5491243866</v>
      </c>
      <c r="D51" s="5">
        <f>IF(A51&lt;Premissas!$G$10,0,IF(Premissas!$G$13=0,0,Apoio!C51*((1+Premissas!$G$13)^12-1)+Apoio!B51*(((1+Premissas!$G$13)^11-1)/Premissas!$G$13)))</f>
        <v>128583.584032333</v>
      </c>
      <c r="E51" s="1">
        <f t="shared" si="2"/>
        <v>1287534.1331567196</v>
      </c>
      <c r="F51" s="1">
        <f>IF(A51&lt;Idade_atual,0,Apoio!E51/(1+Inflaçao_anual)^(Apoio!A51-Idade_atual+1))</f>
        <v>582995.93039654009</v>
      </c>
      <c r="G51" s="1">
        <f t="shared" si="3"/>
        <v>10300.273065253758</v>
      </c>
      <c r="H51" s="1">
        <f t="shared" si="4"/>
        <v>4663.9674431723206</v>
      </c>
    </row>
    <row r="52" spans="1:8" x14ac:dyDescent="0.25">
      <c r="A52">
        <v>50</v>
      </c>
      <c r="B52" s="1">
        <f>IF(A52&lt;Premissas!$G$10,0,Premissas!$G$12)</f>
        <v>1200</v>
      </c>
      <c r="C52" s="1">
        <f>IF(A52&lt;Premissas!$G$10,0,IF(Apoio!A52=Premissas!$G$10,Premissas!$G$11,INDEX($E:$E,ROW()-1)))</f>
        <v>1287534.1331567196</v>
      </c>
      <c r="D52" s="5">
        <f>IF(A52&lt;Premissas!$G$10,0,IF(Premissas!$G$13=0,0,Apoio!C52*((1+Premissas!$G$13)^12-1)+Apoio!B52*(((1+Premissas!$G$13)^11-1)/Premissas!$G$13)))</f>
        <v>142930.37007699022</v>
      </c>
      <c r="E52" s="1">
        <f t="shared" si="2"/>
        <v>1444864.5032337098</v>
      </c>
      <c r="F52" s="1">
        <f>IF(A52&lt;Idade_atual,0,Apoio!E52/(1+Inflaçao_anual)^(Apoio!A52-Idade_atual+1))</f>
        <v>626062.37320406269</v>
      </c>
      <c r="G52" s="1">
        <f t="shared" si="3"/>
        <v>11558.916025869679</v>
      </c>
      <c r="H52" s="1">
        <f t="shared" si="4"/>
        <v>5008.4989856325019</v>
      </c>
    </row>
    <row r="53" spans="1:8" x14ac:dyDescent="0.25">
      <c r="A53">
        <v>51</v>
      </c>
      <c r="B53" s="1">
        <f>IF(A53&lt;Premissas!$G$10,0,Premissas!$G$12)</f>
        <v>1200</v>
      </c>
      <c r="C53" s="1">
        <f>IF(A53&lt;Premissas!$G$10,0,IF(Apoio!A53=Premissas!$G$10,Premissas!$G$11,INDEX($E:$E,ROW()-1)))</f>
        <v>1444864.5032337098</v>
      </c>
      <c r="D53" s="5">
        <f>IF(A53&lt;Premissas!$G$10,0,IF(Premissas!$G$13=0,0,Apoio!C53*((1+Premissas!$G$13)^12-1)+Apoio!B53*(((1+Premissas!$G$13)^11-1)/Premissas!$G$13)))</f>
        <v>158716.69389239341</v>
      </c>
      <c r="E53" s="1">
        <f t="shared" si="2"/>
        <v>1617981.1971261033</v>
      </c>
      <c r="F53" s="1">
        <f>IF(A53&lt;Idade_atual,0,Apoio!E53/(1+Inflaçao_anual)^(Apoio!A53-Idade_atual+1))</f>
        <v>670884.35049225495</v>
      </c>
      <c r="G53" s="1">
        <f t="shared" si="3"/>
        <v>12943.849577008827</v>
      </c>
      <c r="H53" s="1">
        <f t="shared" si="4"/>
        <v>5367.0748039380396</v>
      </c>
    </row>
    <row r="54" spans="1:8" x14ac:dyDescent="0.25">
      <c r="A54">
        <v>52</v>
      </c>
      <c r="B54" s="1">
        <f>IF(A54&lt;Premissas!$G$10,0,Premissas!$G$12)</f>
        <v>1200</v>
      </c>
      <c r="C54" s="1">
        <f>IF(A54&lt;Premissas!$G$10,0,IF(Apoio!A54=Premissas!$G$10,Premissas!$G$11,INDEX($E:$E,ROW()-1)))</f>
        <v>1617981.1971261033</v>
      </c>
      <c r="D54" s="5">
        <f>IF(A54&lt;Premissas!$G$10,0,IF(Premissas!$G$13=0,0,Apoio!C54*((1+Premissas!$G$13)^12-1)+Apoio!B54*(((1+Premissas!$G$13)^11-1)/Premissas!$G$13)))</f>
        <v>176086.99681801428</v>
      </c>
      <c r="E54" s="1">
        <f t="shared" si="2"/>
        <v>1808468.1939441175</v>
      </c>
      <c r="F54" s="1">
        <f>IF(A54&lt;Idade_atual,0,Apoio!E54/(1+Inflaçao_anual)^(Apoio!A54-Idade_atual+1))</f>
        <v>717577.43883789924</v>
      </c>
      <c r="G54" s="1">
        <f t="shared" si="3"/>
        <v>14467.74555155294</v>
      </c>
      <c r="H54" s="1">
        <f t="shared" si="4"/>
        <v>5740.6195107031945</v>
      </c>
    </row>
    <row r="55" spans="1:8" x14ac:dyDescent="0.25">
      <c r="A55">
        <v>53</v>
      </c>
      <c r="B55" s="1">
        <f>IF(A55&lt;Premissas!$G$10,0,Premissas!$G$12)</f>
        <v>1200</v>
      </c>
      <c r="C55" s="1">
        <f>IF(A55&lt;Premissas!$G$10,0,IF(Apoio!A55=Premissas!$G$10,Premissas!$G$11,INDEX($E:$E,ROW()-1)))</f>
        <v>1808468.1939441175</v>
      </c>
      <c r="D55" s="5">
        <f>IF(A55&lt;Premissas!$G$10,0,IF(Premissas!$G$13=0,0,Apoio!C55*((1+Premissas!$G$13)^12-1)+Apoio!B55*(((1+Premissas!$G$13)^11-1)/Premissas!$G$13)))</f>
        <v>195200.21324864565</v>
      </c>
      <c r="E55" s="1">
        <f t="shared" si="2"/>
        <v>2018068.4071927632</v>
      </c>
      <c r="F55" s="1">
        <f>IF(A55&lt;Idade_atual,0,Apoio!E55/(1+Inflaçao_anual)^(Apoio!A55-Idade_atual+1))</f>
        <v>766262.36157370219</v>
      </c>
      <c r="G55" s="1">
        <f t="shared" si="3"/>
        <v>16144.547257542106</v>
      </c>
      <c r="H55" s="1">
        <f t="shared" si="4"/>
        <v>6130.0988925896172</v>
      </c>
    </row>
    <row r="56" spans="1:8" x14ac:dyDescent="0.25">
      <c r="A56">
        <v>54</v>
      </c>
      <c r="B56" s="1">
        <f>IF(A56&lt;Premissas!$G$10,0,Premissas!$G$12)</f>
        <v>1200</v>
      </c>
      <c r="C56" s="1">
        <f>IF(A56&lt;Premissas!$G$10,0,IF(Apoio!A56=Premissas!$G$10,Premissas!$G$11,INDEX($E:$E,ROW()-1)))</f>
        <v>2018068.4071927632</v>
      </c>
      <c r="D56" s="5">
        <f>IF(A56&lt;Premissas!$G$10,0,IF(Premissas!$G$13=0,0,Apoio!C56*((1+Premissas!$G$13)^12-1)+Apoio!B56*(((1+Premissas!$G$13)^11-1)/Premissas!$G$13)))</f>
        <v>216231.22484864062</v>
      </c>
      <c r="E56" s="1">
        <f t="shared" si="2"/>
        <v>2248699.632041404</v>
      </c>
      <c r="F56" s="1">
        <f>IF(A56&lt;Idade_atual,0,Apoio!E56/(1+Inflaçao_anual)^(Apoio!A56-Idade_atual+1))</f>
        <v>817065.30326714786</v>
      </c>
      <c r="G56" s="1">
        <f t="shared" si="3"/>
        <v>17989.597056331233</v>
      </c>
      <c r="H56" s="1">
        <f t="shared" si="4"/>
        <v>6536.5224261371832</v>
      </c>
    </row>
    <row r="57" spans="1:8" x14ac:dyDescent="0.25">
      <c r="A57">
        <v>55</v>
      </c>
      <c r="B57" s="1">
        <f>IF(A57&lt;Premissas!$G$10,0,Premissas!$G$12)</f>
        <v>1200</v>
      </c>
      <c r="C57" s="1">
        <f>IF(A57&lt;Premissas!$G$10,0,IF(Apoio!A57=Premissas!$G$10,Premissas!$G$11,INDEX($E:$E,ROW()-1)))</f>
        <v>2248699.632041404</v>
      </c>
      <c r="D57" s="5">
        <f>IF(A57&lt;Premissas!$G$10,0,IF(Premissas!$G$13=0,0,Apoio!C57*((1+Premissas!$G$13)^12-1)+Apoio!B57*(((1+Premissas!$G$13)^11-1)/Premissas!$G$13)))</f>
        <v>239372.46068010823</v>
      </c>
      <c r="E57" s="1">
        <f t="shared" si="2"/>
        <v>2502472.0927215121</v>
      </c>
      <c r="F57" s="1">
        <f>IF(A57&lt;Idade_atual,0,Apoio!E57/(1+Inflaçao_anual)^(Apoio!A57-Idade_atual+1))</f>
        <v>870118.23904724931</v>
      </c>
      <c r="G57" s="1">
        <f t="shared" si="3"/>
        <v>20019.776741772097</v>
      </c>
      <c r="H57" s="1">
        <f t="shared" si="4"/>
        <v>6960.9459123779943</v>
      </c>
    </row>
    <row r="58" spans="1:8" x14ac:dyDescent="0.25">
      <c r="A58">
        <v>56</v>
      </c>
      <c r="B58" s="1">
        <f>IF(A58&lt;Premissas!$G$10,0,Premissas!$G$12)</f>
        <v>1200</v>
      </c>
      <c r="C58" s="1">
        <f>IF(A58&lt;Premissas!$G$10,0,IF(Apoio!A58=Premissas!$G$10,Premissas!$G$11,INDEX($E:$E,ROW()-1)))</f>
        <v>2502472.0927215121</v>
      </c>
      <c r="D58" s="5">
        <f>IF(A58&lt;Premissas!$G$10,0,IF(Premissas!$G$13=0,0,Apoio!C58*((1+Premissas!$G$13)^12-1)+Apoio!B58*(((1+Premissas!$G$13)^11-1)/Premissas!$G$13)))</f>
        <v>264835.65788588254</v>
      </c>
      <c r="E58" s="1">
        <f t="shared" si="2"/>
        <v>2781707.7506073946</v>
      </c>
      <c r="F58" s="1">
        <f>IF(A58&lt;Idade_atual,0,Apoio!E58/(1+Inflaçao_anual)^(Apoio!A58-Idade_atual+1))</f>
        <v>925559.2796432242</v>
      </c>
      <c r="G58" s="1">
        <f t="shared" si="3"/>
        <v>22253.662004859158</v>
      </c>
      <c r="H58" s="1">
        <f t="shared" si="4"/>
        <v>7404.4742371457942</v>
      </c>
    </row>
    <row r="59" spans="1:8" x14ac:dyDescent="0.25">
      <c r="A59">
        <v>57</v>
      </c>
      <c r="B59" s="1">
        <f>IF(A59&lt;Premissas!$G$10,0,Premissas!$G$12)</f>
        <v>1200</v>
      </c>
      <c r="C59" s="1">
        <f>IF(A59&lt;Premissas!$G$10,0,IF(Apoio!A59=Premissas!$G$10,Premissas!$G$11,INDEX($E:$E,ROW()-1)))</f>
        <v>2781707.7506073946</v>
      </c>
      <c r="D59" s="5">
        <f>IF(A59&lt;Premissas!$G$10,0,IF(Premissas!$G$13=0,0,Apoio!C59*((1+Premissas!$G$13)^12-1)+Apoio!B59*(((1+Premissas!$G$13)^11-1)/Premissas!$G$13)))</f>
        <v>292853.79903712095</v>
      </c>
      <c r="E59" s="1">
        <f t="shared" si="2"/>
        <v>3088961.5496445154</v>
      </c>
      <c r="F59" s="1">
        <f>IF(A59&lt;Idade_atual,0,Apoio!E59/(1+Inflaçao_anual)^(Apoio!A59-Idade_atual+1))</f>
        <v>983533.03304153774</v>
      </c>
      <c r="G59" s="1">
        <f t="shared" si="3"/>
        <v>24711.692397156123</v>
      </c>
      <c r="H59" s="1">
        <f t="shared" si="4"/>
        <v>7868.2642643323024</v>
      </c>
    </row>
    <row r="60" spans="1:8" x14ac:dyDescent="0.25">
      <c r="A60">
        <v>58</v>
      </c>
      <c r="B60" s="1">
        <f>IF(A60&lt;Premissas!$G$10,0,Premissas!$G$12)</f>
        <v>1200</v>
      </c>
      <c r="C60" s="1">
        <f>IF(A60&lt;Premissas!$G$10,0,IF(Apoio!A60=Premissas!$G$10,Premissas!$G$11,INDEX($E:$E,ROW()-1)))</f>
        <v>3088961.5496445154</v>
      </c>
      <c r="D60" s="5">
        <f>IF(A60&lt;Premissas!$G$10,0,IF(Premissas!$G$13=0,0,Apoio!C60*((1+Premissas!$G$13)^12-1)+Apoio!B60*(((1+Premissas!$G$13)^11-1)/Premissas!$G$13)))</f>
        <v>323683.24387182918</v>
      </c>
      <c r="E60" s="1">
        <f t="shared" si="2"/>
        <v>3427044.7935163444</v>
      </c>
      <c r="F60" s="1">
        <f>IF(A60&lt;Idade_atual,0,Apoio!E60/(1+Inflaçao_anual)^(Apoio!A60-Idade_atual+1))</f>
        <v>1044190.9837125442</v>
      </c>
      <c r="G60" s="1">
        <f t="shared" si="3"/>
        <v>27416.358348130754</v>
      </c>
      <c r="H60" s="1">
        <f t="shared" si="4"/>
        <v>8353.5278697003541</v>
      </c>
    </row>
    <row r="61" spans="1:8" x14ac:dyDescent="0.25">
      <c r="A61">
        <v>59</v>
      </c>
      <c r="B61" s="1">
        <f>IF(A61&lt;Premissas!$G$10,0,Premissas!$G$12)</f>
        <v>1200</v>
      </c>
      <c r="C61" s="1">
        <f>IF(A61&lt;Premissas!$G$10,0,IF(Apoio!A61=Premissas!$G$10,Premissas!$G$11,INDEX($E:$E,ROW()-1)))</f>
        <v>3427044.7935163444</v>
      </c>
      <c r="D61" s="5">
        <f>IF(A61&lt;Premissas!$G$10,0,IF(Premissas!$G$13=0,0,Apoio!C61*((1+Premissas!$G$13)^12-1)+Apoio!B61*(((1+Premissas!$G$13)^11-1)/Premissas!$G$13)))</f>
        <v>357606.07492924604</v>
      </c>
      <c r="E61" s="1">
        <f t="shared" si="2"/>
        <v>3799050.8684455906</v>
      </c>
      <c r="F61" s="1">
        <f>IF(A61&lt;Idade_atual,0,Apoio!E61/(1+Inflaçao_anual)^(Apoio!A61-Idade_atual+1))</f>
        <v>1107691.890405277</v>
      </c>
      <c r="G61" s="1">
        <f t="shared" si="3"/>
        <v>30392.406947564727</v>
      </c>
      <c r="H61" s="1">
        <f t="shared" si="4"/>
        <v>8861.5351232422163</v>
      </c>
    </row>
    <row r="62" spans="1:8" x14ac:dyDescent="0.25">
      <c r="A62">
        <v>60</v>
      </c>
      <c r="B62" s="1">
        <f>IF(A62&lt;Premissas!$G$10,0,Premissas!$G$12)</f>
        <v>1200</v>
      </c>
      <c r="C62" s="1">
        <f>IF(A62&lt;Premissas!$G$10,0,IF(Apoio!A62=Premissas!$G$10,Premissas!$G$11,INDEX($E:$E,ROW()-1)))</f>
        <v>3799050.8684455906</v>
      </c>
      <c r="D62" s="5">
        <f>IF(A62&lt;Premissas!$G$10,0,IF(Premissas!$G$13=0,0,Apoio!C62*((1+Premissas!$G$13)^12-1)+Apoio!B62*(((1+Premissas!$G$13)^11-1)/Premissas!$G$13)))</f>
        <v>394932.6785421177</v>
      </c>
      <c r="E62" s="1">
        <f t="shared" si="2"/>
        <v>4208383.5469877087</v>
      </c>
      <c r="F62" s="1">
        <f>IF(A62&lt;Idade_atual,0,Apoio!E62/(1+Inflaçao_anual)^(Apoio!A62-Idade_atual+1))</f>
        <v>1174202.2035588652</v>
      </c>
      <c r="G62" s="1">
        <f t="shared" si="3"/>
        <v>33667.068375901668</v>
      </c>
      <c r="H62" s="1">
        <f t="shared" si="4"/>
        <v>9393.6176284709218</v>
      </c>
    </row>
    <row r="63" spans="1:8" x14ac:dyDescent="0.25">
      <c r="A63">
        <v>61</v>
      </c>
      <c r="B63" s="1">
        <f>IF(A63&lt;Premissas!$G$10,0,Premissas!$G$12)</f>
        <v>1200</v>
      </c>
      <c r="C63" s="1">
        <f>IF(A63&lt;Premissas!$G$10,0,IF(Apoio!A63=Premissas!$G$10,Premissas!$G$11,INDEX($E:$E,ROW()-1)))</f>
        <v>4208383.5469877087</v>
      </c>
      <c r="D63" s="5">
        <f>IF(A63&lt;Premissas!$G$10,0,IF(Premissas!$G$13=0,0,Apoio!C63*((1+Premissas!$G$13)^12-1)+Apoio!B63*(((1+Premissas!$G$13)^11-1)/Premissas!$G$13)))</f>
        <v>436004.5848023654</v>
      </c>
      <c r="E63" s="1">
        <f t="shared" si="2"/>
        <v>4658788.1317900736</v>
      </c>
      <c r="F63" s="1">
        <f>IF(A63&lt;Idade_atual,0,Apoio!E63/(1+Inflaçao_anual)^(Apoio!A63-Idade_atual+1))</f>
        <v>1243896.5034317912</v>
      </c>
      <c r="G63" s="1">
        <f t="shared" si="3"/>
        <v>37270.30505432059</v>
      </c>
      <c r="H63" s="1">
        <f t="shared" si="4"/>
        <v>9951.1720274543295</v>
      </c>
    </row>
    <row r="64" spans="1:8" x14ac:dyDescent="0.25">
      <c r="A64">
        <v>62</v>
      </c>
      <c r="B64" s="1">
        <f>IF(A64&lt;Premissas!$G$10,0,Premissas!$G$12)</f>
        <v>1200</v>
      </c>
      <c r="C64" s="1">
        <f>IF(A64&lt;Premissas!$G$10,0,IF(Apoio!A64=Premissas!$G$10,Premissas!$G$11,INDEX($E:$E,ROW()-1)))</f>
        <v>4658788.1317900736</v>
      </c>
      <c r="D64" s="5">
        <f>IF(A64&lt;Premissas!$G$10,0,IF(Premissas!$G$13=0,0,Apoio!C64*((1+Premissas!$G$13)^12-1)+Apoio!B64*(((1+Premissas!$G$13)^11-1)/Premissas!$G$13)))</f>
        <v>481197.59248519823</v>
      </c>
      <c r="E64" s="1">
        <f t="shared" si="2"/>
        <v>5154385.7242752714</v>
      </c>
      <c r="F64" s="1">
        <f>IF(A64&lt;Idade_atual,0,Apoio!E64/(1+Inflaçao_anual)^(Apoio!A64-Idade_atual+1))</f>
        <v>1316957.9601058105</v>
      </c>
      <c r="G64" s="1">
        <f t="shared" si="3"/>
        <v>41235.085794202176</v>
      </c>
      <c r="H64" s="1">
        <f t="shared" si="4"/>
        <v>10535.663680846485</v>
      </c>
    </row>
    <row r="65" spans="1:8" x14ac:dyDescent="0.25">
      <c r="A65">
        <v>63</v>
      </c>
      <c r="B65" s="1">
        <f>IF(A65&lt;Premissas!$G$10,0,Premissas!$G$12)</f>
        <v>1200</v>
      </c>
      <c r="C65" s="1">
        <f>IF(A65&lt;Premissas!$G$10,0,IF(Apoio!A65=Premissas!$G$10,Premissas!$G$11,INDEX($E:$E,ROW()-1)))</f>
        <v>5154385.7242752714</v>
      </c>
      <c r="D65" s="5">
        <f>IF(A65&lt;Premissas!$G$10,0,IF(Premissas!$G$13=0,0,Apoio!C65*((1+Premissas!$G$13)^12-1)+Apoio!B65*(((1+Premissas!$G$13)^11-1)/Premissas!$G$13)))</f>
        <v>530925.20752403035</v>
      </c>
      <c r="E65" s="1">
        <f t="shared" si="2"/>
        <v>5699710.9317993019</v>
      </c>
      <c r="F65" s="1">
        <f>IF(A65&lt;Idade_atual,0,Apoio!E65/(1+Inflaçao_anual)^(Apoio!A65-Idade_atual+1))</f>
        <v>1393578.8165800679</v>
      </c>
      <c r="G65" s="1">
        <f t="shared" si="3"/>
        <v>45597.687454394414</v>
      </c>
      <c r="H65" s="1">
        <f t="shared" si="4"/>
        <v>11148.630532640544</v>
      </c>
    </row>
    <row r="66" spans="1:8" x14ac:dyDescent="0.25">
      <c r="A66">
        <v>64</v>
      </c>
      <c r="B66" s="1">
        <f>IF(A66&lt;Premissas!$G$10,0,Premissas!$G$12)</f>
        <v>1200</v>
      </c>
      <c r="C66" s="1">
        <f>IF(A66&lt;Premissas!$G$10,0,IF(Apoio!A66=Premissas!$G$10,Premissas!$G$11,INDEX($E:$E,ROW()-1)))</f>
        <v>5699710.9317993019</v>
      </c>
      <c r="D66" s="5">
        <f>IF(A66&lt;Premissas!$G$10,0,IF(Premissas!$G$13=0,0,Apoio!C66*((1+Premissas!$G$13)^12-1)+Apoio!B66*(((1+Premissas!$G$13)^11-1)/Premissas!$G$13)))</f>
        <v>585642.42649747839</v>
      </c>
      <c r="E66" s="1">
        <f t="shared" si="2"/>
        <v>6299753.3582967799</v>
      </c>
      <c r="F66" s="1">
        <f>IF(A66&lt;Idade_atual,0,Apoio!E66/(1+Inflaçao_anual)^(Apoio!A66-Idade_atual+1))</f>
        <v>1473960.8962328208</v>
      </c>
      <c r="G66" s="1">
        <f t="shared" ref="G66:G102" si="5">E66*DY_mensal</f>
        <v>50398.026866374239</v>
      </c>
      <c r="H66" s="1">
        <f t="shared" ref="H66:H102" si="6">F66*DY_mensal</f>
        <v>11791.687169862567</v>
      </c>
    </row>
    <row r="67" spans="1:8" x14ac:dyDescent="0.25">
      <c r="A67">
        <v>65</v>
      </c>
      <c r="B67" s="1">
        <f>IF(A67&lt;Premissas!$G$10,0,Premissas!$G$12)</f>
        <v>1200</v>
      </c>
      <c r="C67" s="1">
        <f>IF(A67&lt;Premissas!$G$10,0,IF(Apoio!A67=Premissas!$G$10,Premissas!$G$11,INDEX($E:$E,ROW()-1)))</f>
        <v>6299753.3582967799</v>
      </c>
      <c r="D67" s="5">
        <f>IF(A67&lt;Premissas!$G$10,0,IF(Premissas!$G$13=0,0,Apoio!C67*((1+Premissas!$G$13)^12-1)+Apoio!B67*(((1+Premissas!$G$13)^11-1)/Premissas!$G$13)))</f>
        <v>645849.8997465024</v>
      </c>
      <c r="E67" s="1">
        <f t="shared" ref="E67:E102" si="7">C67+D67+(B67*12)</f>
        <v>6960003.2580432827</v>
      </c>
      <c r="F67" s="1">
        <f>IF(A67&lt;Idade_atual,0,Apoio!E67/(1+Inflaçao_anual)^(Apoio!A67-Idade_atual+1))</f>
        <v>1558316.1359935193</v>
      </c>
      <c r="G67" s="1">
        <f t="shared" si="5"/>
        <v>55680.026064346261</v>
      </c>
      <c r="H67" s="1">
        <f t="shared" si="6"/>
        <v>12466.529087948154</v>
      </c>
    </row>
    <row r="68" spans="1:8" x14ac:dyDescent="0.25">
      <c r="A68">
        <v>66</v>
      </c>
      <c r="B68" s="1">
        <f>IF(A68&lt;Premissas!$G$10,0,Premissas!$G$12)</f>
        <v>1200</v>
      </c>
      <c r="C68" s="1">
        <f>IF(A68&lt;Premissas!$G$10,0,IF(Apoio!A68=Premissas!$G$10,Premissas!$G$11,INDEX($E:$E,ROW()-1)))</f>
        <v>6960003.2580432827</v>
      </c>
      <c r="D68" s="5">
        <f>IF(A68&lt;Premissas!$G$10,0,IF(Premissas!$G$13=0,0,Apoio!C68*((1+Premissas!$G$13)^12-1)+Apoio!B68*(((1+Premissas!$G$13)^11-1)/Premissas!$G$13)))</f>
        <v>712098.51221328357</v>
      </c>
      <c r="E68" s="1">
        <f t="shared" si="7"/>
        <v>7686501.7702565659</v>
      </c>
      <c r="F68" s="1">
        <f>IF(A68&lt;Idade_atual,0,Apoio!E68/(1+Inflaçao_anual)^(Apoio!A68-Idade_atual+1))</f>
        <v>1646867.1466367918</v>
      </c>
      <c r="G68" s="1">
        <f t="shared" si="5"/>
        <v>61492.014162052532</v>
      </c>
      <c r="H68" s="1">
        <f t="shared" si="6"/>
        <v>13174.937173094335</v>
      </c>
    </row>
    <row r="69" spans="1:8" x14ac:dyDescent="0.25">
      <c r="A69">
        <v>67</v>
      </c>
      <c r="B69" s="1">
        <f>IF(A69&lt;Premissas!$G$10,0,Premissas!$G$12)</f>
        <v>1200</v>
      </c>
      <c r="C69" s="1">
        <f>IF(A69&lt;Premissas!$G$10,0,IF(Apoio!A69=Premissas!$G$10,Premissas!$G$11,INDEX($E:$E,ROW()-1)))</f>
        <v>7686501.7702565659</v>
      </c>
      <c r="D69" s="5">
        <f>IF(A69&lt;Premissas!$G$10,0,IF(Premissas!$G$13=0,0,Apoio!C69*((1+Premissas!$G$13)^12-1)+Apoio!B69*(((1+Premissas!$G$13)^11-1)/Premissas!$G$13)))</f>
        <v>784994.42391548865</v>
      </c>
      <c r="E69" s="1">
        <f t="shared" si="7"/>
        <v>8485896.1941720545</v>
      </c>
      <c r="F69" s="1">
        <f>IF(A69&lt;Idade_atual,0,Apoio!E69/(1+Inflaçao_anual)^(Apoio!A69-Idade_atual+1))</f>
        <v>1739847.8016825232</v>
      </c>
      <c r="G69" s="1">
        <f t="shared" si="5"/>
        <v>67887.169553376443</v>
      </c>
      <c r="H69" s="1">
        <f t="shared" si="6"/>
        <v>13918.782413460187</v>
      </c>
    </row>
    <row r="70" spans="1:8" x14ac:dyDescent="0.25">
      <c r="A70">
        <v>68</v>
      </c>
      <c r="B70" s="1">
        <f>IF(A70&lt;Premissas!$G$10,0,Premissas!$G$12)</f>
        <v>1200</v>
      </c>
      <c r="C70" s="1">
        <f>IF(A70&lt;Premissas!$G$10,0,IF(Apoio!A70=Premissas!$G$10,Premissas!$G$11,INDEX($E:$E,ROW()-1)))</f>
        <v>8485896.1941720545</v>
      </c>
      <c r="D70" s="5">
        <f>IF(A70&lt;Premissas!$G$10,0,IF(Premissas!$G$13=0,0,Apoio!C70*((1+Premissas!$G$13)^12-1)+Apoio!B70*(((1+Premissas!$G$13)^11-1)/Premissas!$G$13)))</f>
        <v>865204.6161751406</v>
      </c>
      <c r="E70" s="1">
        <f t="shared" si="7"/>
        <v>9365500.8103471957</v>
      </c>
      <c r="F70" s="1">
        <f>IF(A70&lt;Idade_atual,0,Apoio!E70/(1+Inflaçao_anual)^(Apoio!A70-Idade_atual+1))</f>
        <v>1837503.856462718</v>
      </c>
      <c r="G70" s="1">
        <f t="shared" si="5"/>
        <v>74924.006482777564</v>
      </c>
      <c r="H70" s="1">
        <f t="shared" si="6"/>
        <v>14700.030851701744</v>
      </c>
    </row>
    <row r="71" spans="1:8" x14ac:dyDescent="0.25">
      <c r="A71">
        <v>69</v>
      </c>
      <c r="B71" s="1">
        <f>IF(A71&lt;Premissas!$G$10,0,Premissas!$G$12)</f>
        <v>1200</v>
      </c>
      <c r="C71" s="1">
        <f>IF(A71&lt;Premissas!$G$10,0,IF(Apoio!A71=Premissas!$G$10,Premissas!$G$11,INDEX($E:$E,ROW()-1)))</f>
        <v>9365500.8103471957</v>
      </c>
      <c r="D71" s="5">
        <f>IF(A71&lt;Premissas!$G$10,0,IF(Premissas!$G$13=0,0,Apoio!C71*((1+Premissas!$G$13)^12-1)+Apoio!B71*(((1+Premissas!$G$13)^11-1)/Premissas!$G$13)))</f>
        <v>953462.99434884719</v>
      </c>
      <c r="E71" s="1">
        <f t="shared" si="7"/>
        <v>10333363.804696042</v>
      </c>
      <c r="F71" s="1">
        <f>IF(A71&lt;Idade_atual,0,Apoio!E71/(1+Inflaçao_anual)^(Apoio!A71-Idade_atual+1))</f>
        <v>1940093.5989965324</v>
      </c>
      <c r="G71" s="1">
        <f t="shared" si="5"/>
        <v>82666.910437568338</v>
      </c>
      <c r="H71" s="1">
        <f t="shared" si="6"/>
        <v>15520.748791972259</v>
      </c>
    </row>
    <row r="72" spans="1:8" x14ac:dyDescent="0.25">
      <c r="A72">
        <v>70</v>
      </c>
      <c r="B72" s="1">
        <f>IF(A72&lt;Premissas!$G$10,0,Premissas!$G$12)</f>
        <v>1200</v>
      </c>
      <c r="C72" s="1">
        <f>IF(A72&lt;Premissas!$G$10,0,IF(Apoio!A72=Premissas!$G$10,Premissas!$G$11,INDEX($E:$E,ROW()-1)))</f>
        <v>10333363.804696042</v>
      </c>
      <c r="D72" s="5">
        <f>IF(A72&lt;Premissas!$G$10,0,IF(Premissas!$G$13=0,0,Apoio!C72*((1+Premissas!$G$13)^12-1)+Apoio!B72*(((1+Premissas!$G$13)^11-1)/Premissas!$G$13)))</f>
        <v>1050577.1028980089</v>
      </c>
      <c r="E72" s="1">
        <f t="shared" si="7"/>
        <v>11398340.907594051</v>
      </c>
      <c r="F72" s="1">
        <f>IF(A72&lt;Idade_atual,0,Apoio!E72/(1+Inflaçao_anual)^(Apoio!A72-Idade_atual+1))</f>
        <v>2047888.5343998717</v>
      </c>
      <c r="G72" s="1">
        <f t="shared" si="5"/>
        <v>91186.727260752406</v>
      </c>
      <c r="H72" s="1">
        <f t="shared" si="6"/>
        <v>16383.108275198974</v>
      </c>
    </row>
    <row r="73" spans="1:8" x14ac:dyDescent="0.25">
      <c r="A73">
        <v>71</v>
      </c>
      <c r="B73" s="1">
        <f>IF(A73&lt;Premissas!$G$10,0,Premissas!$G$12)</f>
        <v>1200</v>
      </c>
      <c r="C73" s="1">
        <f>IF(A73&lt;Premissas!$G$10,0,IF(Apoio!A73=Premissas!$G$10,Premissas!$G$11,INDEX($E:$E,ROW()-1)))</f>
        <v>11398340.907594051</v>
      </c>
      <c r="D73" s="5">
        <f>IF(A73&lt;Premissas!$G$10,0,IF(Premissas!$G$13=0,0,Apoio!C73*((1+Premissas!$G$13)^12-1)+Apoio!B73*(((1+Premissas!$G$13)^11-1)/Premissas!$G$13)))</f>
        <v>1157435.514240402</v>
      </c>
      <c r="E73" s="1">
        <f t="shared" si="7"/>
        <v>12570176.421834454</v>
      </c>
      <c r="F73" s="1">
        <f>IF(A73&lt;Idade_atual,0,Apoio!E73/(1+Inflaçao_anual)^(Apoio!A73-Idade_atual+1))</f>
        <v>2161174.1046455856</v>
      </c>
      <c r="G73" s="1">
        <f t="shared" si="5"/>
        <v>100561.41137467563</v>
      </c>
      <c r="H73" s="1">
        <f t="shared" si="6"/>
        <v>17289.392837164687</v>
      </c>
    </row>
    <row r="74" spans="1:8" x14ac:dyDescent="0.25">
      <c r="A74">
        <v>72</v>
      </c>
      <c r="B74" s="1">
        <f>IF(A74&lt;Premissas!$G$10,0,Premissas!$G$12)</f>
        <v>1200</v>
      </c>
      <c r="C74" s="1">
        <f>IF(A74&lt;Premissas!$G$10,0,IF(Apoio!A74=Premissas!$G$10,Premissas!$G$11,INDEX($E:$E,ROW()-1)))</f>
        <v>12570176.421834454</v>
      </c>
      <c r="D74" s="5">
        <f>IF(A74&lt;Premissas!$G$10,0,IF(Premissas!$G$13=0,0,Apoio!C74*((1+Premissas!$G$13)^12-1)+Apoio!B74*(((1+Premissas!$G$13)^11-1)/Premissas!$G$13)))</f>
        <v>1275015.9589894733</v>
      </c>
      <c r="E74" s="1">
        <f t="shared" si="7"/>
        <v>13859592.380823927</v>
      </c>
      <c r="F74" s="1">
        <f>IF(A74&lt;Idade_atual,0,Apoio!E74/(1+Inflaçao_anual)^(Apoio!A74-Idade_atual+1))</f>
        <v>2280250.4455847112</v>
      </c>
      <c r="G74" s="1">
        <f t="shared" si="5"/>
        <v>110876.73904659142</v>
      </c>
      <c r="H74" s="1">
        <f t="shared" si="6"/>
        <v>18242.003564677689</v>
      </c>
    </row>
    <row r="75" spans="1:8" x14ac:dyDescent="0.25">
      <c r="A75">
        <v>73</v>
      </c>
      <c r="B75" s="1">
        <f>IF(A75&lt;Premissas!$G$10,0,Premissas!$G$12)</f>
        <v>1200</v>
      </c>
      <c r="C75" s="1">
        <f>IF(A75&lt;Premissas!$G$10,0,IF(Apoio!A75=Premissas!$G$10,Premissas!$G$11,INDEX($E:$E,ROW()-1)))</f>
        <v>13859592.380823927</v>
      </c>
      <c r="D75" s="5">
        <f>IF(A75&lt;Premissas!$G$10,0,IF(Premissas!$G$13=0,0,Apoio!C75*((1+Premissas!$G$13)^12-1)+Apoio!B75*(((1+Premissas!$G$13)^11-1)/Premissas!$G$13)))</f>
        <v>1404394.2719712299</v>
      </c>
      <c r="E75" s="1">
        <f t="shared" si="7"/>
        <v>15278386.652795156</v>
      </c>
      <c r="F75" s="1">
        <f>IF(A75&lt;Idade_atual,0,Apoio!E75/(1+Inflaçao_anual)^(Apoio!A75-Idade_atual+1))</f>
        <v>2405433.1832387489</v>
      </c>
      <c r="G75" s="1">
        <f t="shared" si="5"/>
        <v>122227.09322236125</v>
      </c>
      <c r="H75" s="1">
        <f t="shared" si="6"/>
        <v>19243.465465909991</v>
      </c>
    </row>
    <row r="76" spans="1:8" x14ac:dyDescent="0.25">
      <c r="A76">
        <v>74</v>
      </c>
      <c r="B76" s="1">
        <f>IF(A76&lt;Premissas!$G$10,0,Premissas!$G$12)</f>
        <v>1200</v>
      </c>
      <c r="C76" s="1">
        <f>IF(A76&lt;Premissas!$G$10,0,IF(Apoio!A76=Premissas!$G$10,Premissas!$G$11,INDEX($E:$E,ROW()-1)))</f>
        <v>15278386.652795156</v>
      </c>
      <c r="D76" s="5">
        <f>IF(A76&lt;Premissas!$G$10,0,IF(Premissas!$G$13=0,0,Apoio!C76*((1+Premissas!$G$13)^12-1)+Apoio!B76*(((1+Premissas!$G$13)^11-1)/Premissas!$G$13)))</f>
        <v>1546754.2358727751</v>
      </c>
      <c r="E76" s="1">
        <f t="shared" si="7"/>
        <v>16839540.88866793</v>
      </c>
      <c r="F76" s="1">
        <f>IF(A76&lt;Idade_atual,0,Apoio!E76/(1+Inflaçao_anual)^(Apoio!A76-Idade_atual+1))</f>
        <v>2537054.2714777915</v>
      </c>
      <c r="G76" s="1">
        <f t="shared" si="5"/>
        <v>134716.32710934343</v>
      </c>
      <c r="H76" s="1">
        <f t="shared" si="6"/>
        <v>20296.434171822333</v>
      </c>
    </row>
    <row r="77" spans="1:8" x14ac:dyDescent="0.25">
      <c r="A77">
        <v>75</v>
      </c>
      <c r="B77" s="1">
        <f>IF(A77&lt;Premissas!$G$10,0,Premissas!$G$12)</f>
        <v>1200</v>
      </c>
      <c r="C77" s="1">
        <f>IF(A77&lt;Premissas!$G$10,0,IF(Apoio!A77=Premissas!$G$10,Premissas!$G$11,INDEX($E:$E,ROW()-1)))</f>
        <v>16839540.88866793</v>
      </c>
      <c r="D77" s="5">
        <f>IF(A77&lt;Premissas!$G$10,0,IF(Premissas!$G$13=0,0,Apoio!C77*((1+Premissas!$G$13)^12-1)+Apoio!B77*(((1+Premissas!$G$13)^11-1)/Premissas!$G$13)))</f>
        <v>1703398.4125896788</v>
      </c>
      <c r="E77" s="1">
        <f t="shared" si="7"/>
        <v>18557339.30125761</v>
      </c>
      <c r="F77" s="1">
        <f>IF(A77&lt;Idade_atual,0,Apoio!E77/(1+Inflaçao_anual)^(Apoio!A77-Idade_atual+1))</f>
        <v>2675462.87330982</v>
      </c>
      <c r="G77" s="1">
        <f t="shared" si="5"/>
        <v>148458.71441006087</v>
      </c>
      <c r="H77" s="1">
        <f t="shared" si="6"/>
        <v>21403.702986478562</v>
      </c>
    </row>
    <row r="78" spans="1:8" x14ac:dyDescent="0.25">
      <c r="A78">
        <v>76</v>
      </c>
      <c r="B78" s="1">
        <f>IF(A78&lt;Premissas!$G$10,0,Premissas!$G$12)</f>
        <v>1200</v>
      </c>
      <c r="C78" s="1">
        <f>IF(A78&lt;Premissas!$G$10,0,IF(Apoio!A78=Premissas!$G$10,Premissas!$G$11,INDEX($E:$E,ROW()-1)))</f>
        <v>18557339.30125761</v>
      </c>
      <c r="D78" s="5">
        <f>IF(A78&lt;Premissas!$G$10,0,IF(Premissas!$G$13=0,0,Apoio!C78*((1+Premissas!$G$13)^12-1)+Apoio!B78*(((1+Premissas!$G$13)^11-1)/Premissas!$G$13)))</f>
        <v>1875760.0613765982</v>
      </c>
      <c r="E78" s="1">
        <f t="shared" si="7"/>
        <v>20447499.362634208</v>
      </c>
      <c r="F78" s="1">
        <f>IF(A78&lt;Idade_atual,0,Apoio!E78/(1+Inflaçao_anual)^(Apoio!A78-Idade_atual+1))</f>
        <v>2821026.2881228579</v>
      </c>
      <c r="G78" s="1">
        <f t="shared" si="5"/>
        <v>163579.99490107366</v>
      </c>
      <c r="H78" s="1">
        <f t="shared" si="6"/>
        <v>22568.210304982866</v>
      </c>
    </row>
    <row r="79" spans="1:8" x14ac:dyDescent="0.25">
      <c r="A79">
        <v>77</v>
      </c>
      <c r="B79" s="1">
        <f>IF(A79&lt;Premissas!$G$10,0,Premissas!$G$12)</f>
        <v>1200</v>
      </c>
      <c r="C79" s="1">
        <f>IF(A79&lt;Premissas!$G$10,0,IF(Apoio!A79=Premissas!$G$10,Premissas!$G$11,INDEX($E:$E,ROW()-1)))</f>
        <v>20447499.362634208</v>
      </c>
      <c r="D79" s="5">
        <f>IF(A79&lt;Premissas!$G$10,0,IF(Premissas!$G$13=0,0,Apoio!C79*((1+Premissas!$G$13)^12-1)+Apoio!B79*(((1+Premissas!$G$13)^11-1)/Premissas!$G$13)))</f>
        <v>2065416.2528495584</v>
      </c>
      <c r="E79" s="1">
        <f t="shared" si="7"/>
        <v>22527315.615483768</v>
      </c>
      <c r="F79" s="1">
        <f>IF(A79&lt;Idade_atual,0,Apoio!E79/(1+Inflaçao_anual)^(Apoio!A79-Idade_atual+1))</f>
        <v>2974130.9273443082</v>
      </c>
      <c r="G79" s="1">
        <f t="shared" si="5"/>
        <v>180218.52492387014</v>
      </c>
      <c r="H79" s="1">
        <f t="shared" si="6"/>
        <v>23793.047418754468</v>
      </c>
    </row>
    <row r="80" spans="1:8" x14ac:dyDescent="0.25">
      <c r="A80">
        <v>78</v>
      </c>
      <c r="B80" s="1">
        <f>IF(A80&lt;Premissas!$G$10,0,Premissas!$G$12)</f>
        <v>1200</v>
      </c>
      <c r="C80" s="1">
        <f>IF(A80&lt;Premissas!$G$10,0,IF(Apoio!A80=Premissas!$G$10,Premissas!$G$11,INDEX($E:$E,ROW()-1)))</f>
        <v>22527315.615483768</v>
      </c>
      <c r="D80" s="5">
        <f>IF(A80&lt;Premissas!$G$10,0,IF(Premissas!$G$13=0,0,Apoio!C80*((1+Premissas!$G$13)^12-1)+Apoio!B80*(((1+Premissas!$G$13)^11-1)/Premissas!$G$13)))</f>
        <v>2274102.2988300947</v>
      </c>
      <c r="E80" s="1">
        <f t="shared" si="7"/>
        <v>24815817.914313864</v>
      </c>
      <c r="F80" s="1">
        <f>IF(A80&lt;Idade_atual,0,Apoio!E80/(1+Inflaçao_anual)^(Apoio!A80-Idade_atual+1))</f>
        <v>3135183.3411109461</v>
      </c>
      <c r="G80" s="1">
        <f t="shared" si="5"/>
        <v>198526.54331451093</v>
      </c>
      <c r="H80" s="1">
        <f t="shared" si="6"/>
        <v>25081.466728887568</v>
      </c>
    </row>
    <row r="81" spans="1:8" x14ac:dyDescent="0.25">
      <c r="A81">
        <v>79</v>
      </c>
      <c r="B81" s="1">
        <f>IF(A81&lt;Premissas!$G$10,0,Premissas!$G$12)</f>
        <v>1200</v>
      </c>
      <c r="C81" s="1">
        <f>IF(A81&lt;Premissas!$G$10,0,IF(Apoio!A81=Premissas!$G$10,Premissas!$G$11,INDEX($E:$E,ROW()-1)))</f>
        <v>24815817.914313864</v>
      </c>
      <c r="D81" s="5">
        <f>IF(A81&lt;Premissas!$G$10,0,IF(Premissas!$G$13=0,0,Apoio!C81*((1+Premissas!$G$13)^12-1)+Apoio!B81*(((1+Premissas!$G$13)^11-1)/Premissas!$G$13)))</f>
        <v>2503727.6300611058</v>
      </c>
      <c r="E81" s="1">
        <f t="shared" si="7"/>
        <v>27333945.544374969</v>
      </c>
      <c r="F81" s="1">
        <f>IF(A81&lt;Idade_atual,0,Apoio!E81/(1+Inflaçao_anual)^(Apoio!A81-Idade_atual+1))</f>
        <v>3304611.2986791455</v>
      </c>
      <c r="G81" s="1">
        <f t="shared" si="5"/>
        <v>218671.56435499975</v>
      </c>
      <c r="H81" s="1">
        <f t="shared" si="6"/>
        <v>26436.890389433163</v>
      </c>
    </row>
    <row r="82" spans="1:8" x14ac:dyDescent="0.25">
      <c r="A82">
        <v>80</v>
      </c>
      <c r="B82" s="1">
        <f>IF(A82&lt;Premissas!$G$10,0,Premissas!$G$12)</f>
        <v>1200</v>
      </c>
      <c r="C82" s="1">
        <f>IF(A82&lt;Premissas!$G$10,0,IF(Apoio!A82=Premissas!$G$10,Premissas!$G$11,INDEX($E:$E,ROW()-1)))</f>
        <v>27333945.544374969</v>
      </c>
      <c r="D82" s="5">
        <f>IF(A82&lt;Premissas!$G$10,0,IF(Premissas!$G$13=0,0,Apoio!C82*((1+Premissas!$G$13)^12-1)+Apoio!B82*(((1+Premissas!$G$13)^11-1)/Premissas!$G$13)))</f>
        <v>2756393.2670719745</v>
      </c>
      <c r="E82" s="1">
        <f t="shared" si="7"/>
        <v>30104738.811446942</v>
      </c>
      <c r="F82" s="1">
        <f>IF(A82&lt;Idade_atual,0,Apoio!E82/(1+Inflaçao_anual)^(Apoio!A82-Idade_atual+1))</f>
        <v>3482864.9254481932</v>
      </c>
      <c r="G82" s="1">
        <f t="shared" si="5"/>
        <v>240837.91049157555</v>
      </c>
      <c r="H82" s="1">
        <f t="shared" si="6"/>
        <v>27862.919403585547</v>
      </c>
    </row>
    <row r="83" spans="1:8" x14ac:dyDescent="0.25">
      <c r="A83">
        <v>81</v>
      </c>
      <c r="B83" s="1">
        <f>IF(A83&lt;Premissas!$G$10,0,Premissas!$G$12)</f>
        <v>1200</v>
      </c>
      <c r="C83" s="1">
        <f>IF(A83&lt;Premissas!$G$10,0,IF(Apoio!A83=Premissas!$G$10,Premissas!$G$11,INDEX($E:$E,ROW()-1)))</f>
        <v>30104738.811446942</v>
      </c>
      <c r="D83" s="5">
        <f>IF(A83&lt;Premissas!$G$10,0,IF(Premissas!$G$13=0,0,Apoio!C83*((1+Premissas!$G$13)^12-1)+Apoio!B83*(((1+Premissas!$G$13)^11-1)/Premissas!$G$13)))</f>
        <v>3034411.0440474716</v>
      </c>
      <c r="E83" s="1">
        <f t="shared" si="7"/>
        <v>33153549.855494414</v>
      </c>
      <c r="F83" s="1">
        <f>IF(A83&lt;Idade_atual,0,Apoio!E83/(1+Inflaçao_anual)^(Apoio!A83-Idade_atual+1))</f>
        <v>3670417.8996205842</v>
      </c>
      <c r="G83" s="1">
        <f t="shared" si="5"/>
        <v>265228.39884395531</v>
      </c>
      <c r="H83" s="1">
        <f t="shared" si="6"/>
        <v>29363.343196964674</v>
      </c>
    </row>
    <row r="84" spans="1:8" x14ac:dyDescent="0.25">
      <c r="A84">
        <v>82</v>
      </c>
      <c r="B84" s="1">
        <f>IF(A84&lt;Premissas!$G$10,0,Premissas!$G$12)</f>
        <v>1200</v>
      </c>
      <c r="C84" s="1">
        <f>IF(A84&lt;Premissas!$G$10,0,IF(Apoio!A84=Premissas!$G$10,Premissas!$G$11,INDEX($E:$E,ROW()-1)))</f>
        <v>33153549.855494414</v>
      </c>
      <c r="D84" s="5">
        <f>IF(A84&lt;Premissas!$G$10,0,IF(Premissas!$G$13=0,0,Apoio!C84*((1+Premissas!$G$13)^12-1)+Apoio!B84*(((1+Premissas!$G$13)^11-1)/Premissas!$G$13)))</f>
        <v>3340324.7615945572</v>
      </c>
      <c r="E84" s="1">
        <f t="shared" si="7"/>
        <v>36508274.617088974</v>
      </c>
      <c r="F84" s="1">
        <f>IF(A84&lt;Idade_atual,0,Apoio!E84/(1+Inflaçao_anual)^(Apoio!A84-Idade_atual+1))</f>
        <v>3867768.7116821278</v>
      </c>
      <c r="G84" s="1">
        <f t="shared" si="5"/>
        <v>292066.19693671179</v>
      </c>
      <c r="H84" s="1">
        <f t="shared" si="6"/>
        <v>30942.149693457024</v>
      </c>
    </row>
    <row r="85" spans="1:8" x14ac:dyDescent="0.25">
      <c r="A85">
        <v>83</v>
      </c>
      <c r="B85" s="1">
        <f>IF(A85&lt;Premissas!$G$10,0,Premissas!$G$12)</f>
        <v>1200</v>
      </c>
      <c r="C85" s="1">
        <f>IF(A85&lt;Premissas!$G$10,0,IF(Apoio!A85=Premissas!$G$10,Premissas!$G$11,INDEX($E:$E,ROW()-1)))</f>
        <v>36508274.617088974</v>
      </c>
      <c r="D85" s="5">
        <f>IF(A85&lt;Premissas!$G$10,0,IF(Premissas!$G$13=0,0,Apoio!C85*((1+Premissas!$G$13)^12-1)+Apoio!B85*(((1+Premissas!$G$13)^11-1)/Premissas!$G$13)))</f>
        <v>3676933.461950168</v>
      </c>
      <c r="E85" s="1">
        <f t="shared" si="7"/>
        <v>40199608.079039142</v>
      </c>
      <c r="F85" s="1">
        <f>IF(A85&lt;Idade_atual,0,Apoio!E85/(1+Inflaçao_anual)^(Apoio!A85-Idade_atual+1))</f>
        <v>4075441.9900522665</v>
      </c>
      <c r="G85" s="1">
        <f t="shared" si="5"/>
        <v>321596.86463231314</v>
      </c>
      <c r="H85" s="1">
        <f t="shared" si="6"/>
        <v>32603.535920418133</v>
      </c>
    </row>
    <row r="86" spans="1:8" x14ac:dyDescent="0.25">
      <c r="A86">
        <v>84</v>
      </c>
      <c r="B86" s="1">
        <f>IF(A86&lt;Premissas!$G$10,0,Premissas!$G$12)</f>
        <v>1200</v>
      </c>
      <c r="C86" s="1">
        <f>IF(A86&lt;Premissas!$G$10,0,IF(Apoio!A86=Premissas!$G$10,Premissas!$G$11,INDEX($E:$E,ROW()-1)))</f>
        <v>40199608.079039142</v>
      </c>
      <c r="D86" s="5">
        <f>IF(A86&lt;Premissas!$G$10,0,IF(Premissas!$G$13=0,0,Apoio!C86*((1+Premissas!$G$13)^12-1)+Apoio!B86*(((1+Premissas!$G$13)^11-1)/Premissas!$G$13)))</f>
        <v>4047317.0395929501</v>
      </c>
      <c r="E86" s="1">
        <f t="shared" si="7"/>
        <v>44261325.118632093</v>
      </c>
      <c r="F86" s="1">
        <f>IF(A86&lt;Idade_atual,0,Apoio!E86/(1+Inflaçao_anual)^(Apoio!A86-Idade_atual+1))</f>
        <v>4293989.8964313259</v>
      </c>
      <c r="G86" s="1">
        <f t="shared" si="5"/>
        <v>354090.60094905674</v>
      </c>
      <c r="H86" s="1">
        <f t="shared" si="6"/>
        <v>34351.919171450609</v>
      </c>
    </row>
    <row r="87" spans="1:8" x14ac:dyDescent="0.25">
      <c r="A87">
        <v>85</v>
      </c>
      <c r="B87" s="1">
        <f>IF(A87&lt;Premissas!$G$10,0,Premissas!$G$12)</f>
        <v>1200</v>
      </c>
      <c r="C87" s="1">
        <f>IF(A87&lt;Premissas!$G$10,0,IF(Apoio!A87=Premissas!$G$10,Premissas!$G$11,INDEX($E:$E,ROW()-1)))</f>
        <v>44261325.118632093</v>
      </c>
      <c r="D87" s="5">
        <f>IF(A87&lt;Premissas!$G$10,0,IF(Premissas!$G$13=0,0,Apoio!C87*((1+Premissas!$G$13)^12-1)+Apoio!B87*(((1+Premissas!$G$13)^11-1)/Premissas!$G$13)))</f>
        <v>4454864.4215903226</v>
      </c>
      <c r="E87" s="1">
        <f t="shared" si="7"/>
        <v>48730589.540222414</v>
      </c>
      <c r="F87" s="1">
        <f>IF(A87&lt;Idade_atual,0,Apoio!E87/(1+Inflaçao_anual)^(Apoio!A87-Idade_atual+1))</f>
        <v>4523993.5945572676</v>
      </c>
      <c r="G87" s="1">
        <f t="shared" si="5"/>
        <v>389844.7163217793</v>
      </c>
      <c r="H87" s="1">
        <f t="shared" si="6"/>
        <v>36191.948756458143</v>
      </c>
    </row>
    <row r="88" spans="1:8" x14ac:dyDescent="0.25">
      <c r="A88">
        <v>86</v>
      </c>
      <c r="B88" s="1">
        <f>IF(A88&lt;Premissas!$G$10,0,Premissas!$G$12)</f>
        <v>1200</v>
      </c>
      <c r="C88" s="1">
        <f>IF(A88&lt;Premissas!$G$10,0,IF(Apoio!A88=Premissas!$G$10,Premissas!$G$11,INDEX($E:$E,ROW()-1)))</f>
        <v>48730589.540222414</v>
      </c>
      <c r="D88" s="5">
        <f>IF(A88&lt;Premissas!$G$10,0,IF(Premissas!$G$13=0,0,Apoio!C88*((1+Premissas!$G$13)^12-1)+Apoio!B88*(((1+Premissas!$G$13)^11-1)/Premissas!$G$13)))</f>
        <v>4903304.5755247474</v>
      </c>
      <c r="E88" s="1">
        <f t="shared" si="7"/>
        <v>53648294.115747161</v>
      </c>
      <c r="F88" s="1">
        <f>IF(A88&lt;Idade_atual,0,Apoio!E88/(1+Inflaçao_anual)^(Apoio!A88-Idade_atual+1))</f>
        <v>4766064.7962801363</v>
      </c>
      <c r="G88" s="1">
        <f t="shared" si="5"/>
        <v>429186.35292597732</v>
      </c>
      <c r="H88" s="1">
        <f t="shared" si="6"/>
        <v>38128.518370241094</v>
      </c>
    </row>
    <row r="89" spans="1:8" x14ac:dyDescent="0.25">
      <c r="A89">
        <v>87</v>
      </c>
      <c r="B89" s="1">
        <f>IF(A89&lt;Premissas!$G$10,0,Premissas!$G$12)</f>
        <v>1200</v>
      </c>
      <c r="C89" s="1">
        <f>IF(A89&lt;Premissas!$G$10,0,IF(Apoio!A89=Premissas!$G$10,Premissas!$G$11,INDEX($E:$E,ROW()-1)))</f>
        <v>53648294.115747161</v>
      </c>
      <c r="D89" s="5">
        <f>IF(A89&lt;Premissas!$G$10,0,IF(Premissas!$G$13=0,0,Apoio!C89*((1+Premissas!$G$13)^12-1)+Apoio!B89*(((1+Premissas!$G$13)^11-1)/Premissas!$G$13)))</f>
        <v>5396740.6287148194</v>
      </c>
      <c r="E89" s="1">
        <f t="shared" si="7"/>
        <v>59059434.744461983</v>
      </c>
      <c r="F89" s="1">
        <f>IF(A89&lt;Idade_atual,0,Apoio!E89/(1+Inflaçao_anual)^(Apoio!A89-Idade_atual+1))</f>
        <v>5020847.3890684983</v>
      </c>
      <c r="G89" s="1">
        <f t="shared" si="5"/>
        <v>472475.47795569588</v>
      </c>
      <c r="H89" s="1">
        <f t="shared" si="6"/>
        <v>40166.779112547985</v>
      </c>
    </row>
    <row r="90" spans="1:8" x14ac:dyDescent="0.25">
      <c r="A90">
        <v>88</v>
      </c>
      <c r="B90" s="1">
        <f>IF(A90&lt;Premissas!$G$10,0,Premissas!$G$12)</f>
        <v>1200</v>
      </c>
      <c r="C90" s="1">
        <f>IF(A90&lt;Premissas!$G$10,0,IF(Apoio!A90=Premissas!$G$10,Premissas!$G$11,INDEX($E:$E,ROW()-1)))</f>
        <v>59059434.744461983</v>
      </c>
      <c r="D90" s="5">
        <f>IF(A90&lt;Premissas!$G$10,0,IF(Premissas!$G$13=0,0,Apoio!C90*((1+Premissas!$G$13)^12-1)+Apoio!B90*(((1+Premissas!$G$13)^11-1)/Premissas!$G$13)))</f>
        <v>5939687.4109144351</v>
      </c>
      <c r="E90" s="1">
        <f t="shared" si="7"/>
        <v>65013522.155376419</v>
      </c>
      <c r="F90" s="1">
        <f>IF(A90&lt;Idade_atual,0,Apoio!E90/(1+Inflaçao_anual)^(Apoio!A90-Idade_atual+1))</f>
        <v>5289019.1492791362</v>
      </c>
      <c r="G90" s="1">
        <f t="shared" si="5"/>
        <v>520108.17724301136</v>
      </c>
      <c r="H90" s="1">
        <f t="shared" si="6"/>
        <v>42312.153194233091</v>
      </c>
    </row>
    <row r="91" spans="1:8" x14ac:dyDescent="0.25">
      <c r="A91">
        <v>89</v>
      </c>
      <c r="B91" s="1">
        <f>IF(A91&lt;Premissas!$G$10,0,Premissas!$G$12)</f>
        <v>1200</v>
      </c>
      <c r="C91" s="1">
        <f>IF(A91&lt;Premissas!$G$10,0,IF(Apoio!A91=Premissas!$G$10,Premissas!$G$11,INDEX($E:$E,ROW()-1)))</f>
        <v>65013522.155376419</v>
      </c>
      <c r="D91" s="5">
        <f>IF(A91&lt;Premissas!$G$10,0,IF(Premissas!$G$13=0,0,Apoio!C91*((1+Premissas!$G$13)^12-1)+Apoio!B91*(((1+Premissas!$G$13)^11-1)/Premissas!$G$13)))</f>
        <v>6537112.7639973452</v>
      </c>
      <c r="E91" s="1">
        <f t="shared" si="7"/>
        <v>71565034.919373766</v>
      </c>
      <c r="F91" s="1">
        <f>IF(A91&lt;Idade_atual,0,Apoio!E91/(1+Inflaçao_anual)^(Apoio!A91-Idade_atual+1))</f>
        <v>5571293.5457498841</v>
      </c>
      <c r="G91" s="1">
        <f t="shared" si="5"/>
        <v>572520.27935499011</v>
      </c>
      <c r="H91" s="1">
        <f t="shared" si="6"/>
        <v>44570.348365999074</v>
      </c>
    </row>
    <row r="92" spans="1:8" x14ac:dyDescent="0.25">
      <c r="A92">
        <v>90</v>
      </c>
      <c r="B92" s="1">
        <f>IF(A92&lt;Premissas!$G$10,0,Premissas!$G$12)</f>
        <v>1200</v>
      </c>
      <c r="C92" s="1">
        <f>IF(A92&lt;Premissas!$G$10,0,IF(Apoio!A92=Premissas!$G$10,Premissas!$G$11,INDEX($E:$E,ROW()-1)))</f>
        <v>71565034.919373766</v>
      </c>
      <c r="D92" s="5">
        <f>IF(A92&lt;Premissas!$G$10,0,IF(Premissas!$G$13=0,0,Apoio!C92*((1+Premissas!$G$13)^12-1)+Apoio!B92*(((1+Premissas!$G$13)^11-1)/Premissas!$G$13)))</f>
        <v>7194482.9966015024</v>
      </c>
      <c r="E92" s="1">
        <f t="shared" si="7"/>
        <v>78773917.915975273</v>
      </c>
      <c r="F92" s="1">
        <f>IF(A92&lt;Idade_atual,0,Apoio!E92/(1+Inflaçao_anual)^(Apoio!A92-Idade_atual+1))</f>
        <v>5868421.6385161048</v>
      </c>
      <c r="G92" s="1">
        <f t="shared" si="5"/>
        <v>630191.34332780214</v>
      </c>
      <c r="H92" s="1">
        <f t="shared" si="6"/>
        <v>46947.373108128842</v>
      </c>
    </row>
    <row r="93" spans="1:8" x14ac:dyDescent="0.25">
      <c r="A93">
        <v>91</v>
      </c>
      <c r="B93" s="1">
        <f>IF(A93&lt;Premissas!$G$10,0,Premissas!$G$12)</f>
        <v>1200</v>
      </c>
      <c r="C93" s="1">
        <f>IF(A93&lt;Premissas!$G$10,0,IF(Apoio!A93=Premissas!$G$10,Premissas!$G$11,INDEX($E:$E,ROW()-1)))</f>
        <v>78773917.915975273</v>
      </c>
      <c r="D93" s="5">
        <f>IF(A93&lt;Premissas!$G$10,0,IF(Premissas!$G$13=0,0,Apoio!C93*((1+Premissas!$G$13)^12-1)+Apoio!B93*(((1+Premissas!$G$13)^11-1)/Premissas!$G$13)))</f>
        <v>7917812.8996330416</v>
      </c>
      <c r="E93" s="1">
        <f t="shared" si="7"/>
        <v>86706130.815608308</v>
      </c>
      <c r="F93" s="1">
        <f>IF(A93&lt;Idade_atual,0,Apoio!E93/(1+Inflaçao_anual)^(Apoio!A93-Idade_atual+1))</f>
        <v>6181194.0777048133</v>
      </c>
      <c r="G93" s="1">
        <f t="shared" si="5"/>
        <v>693649.04652486648</v>
      </c>
      <c r="H93" s="1">
        <f t="shared" si="6"/>
        <v>49449.552621638504</v>
      </c>
    </row>
    <row r="94" spans="1:8" x14ac:dyDescent="0.25">
      <c r="A94">
        <v>92</v>
      </c>
      <c r="B94" s="1">
        <f>IF(A94&lt;Premissas!$G$10,0,Premissas!$G$12)</f>
        <v>1200</v>
      </c>
      <c r="C94" s="1">
        <f>IF(A94&lt;Premissas!$G$10,0,IF(Apoio!A94=Premissas!$G$10,Premissas!$G$11,INDEX($E:$E,ROW()-1)))</f>
        <v>86706130.815608308</v>
      </c>
      <c r="D94" s="5">
        <f>IF(A94&lt;Premissas!$G$10,0,IF(Premissas!$G$13=0,0,Apoio!C94*((1+Premissas!$G$13)^12-1)+Apoio!B94*(((1+Premissas!$G$13)^11-1)/Premissas!$G$13)))</f>
        <v>8713720.7802605927</v>
      </c>
      <c r="E94" s="1">
        <f t="shared" si="7"/>
        <v>95434251.5958689</v>
      </c>
      <c r="F94" s="1">
        <f>IF(A94&lt;Idade_atual,0,Apoio!E94/(1+Inflaçao_anual)^(Apoio!A94-Idade_atual+1))</f>
        <v>6510443.2079273751</v>
      </c>
      <c r="G94" s="1">
        <f t="shared" si="5"/>
        <v>763474.01276695123</v>
      </c>
      <c r="H94" s="1">
        <f t="shared" si="6"/>
        <v>52083.545663419005</v>
      </c>
    </row>
    <row r="95" spans="1:8" x14ac:dyDescent="0.25">
      <c r="A95">
        <v>93</v>
      </c>
      <c r="B95" s="1">
        <f>IF(A95&lt;Premissas!$G$10,0,Premissas!$G$12)</f>
        <v>1200</v>
      </c>
      <c r="C95" s="1">
        <f>IF(A95&lt;Premissas!$G$10,0,IF(Apoio!A95=Premissas!$G$10,Premissas!$G$11,INDEX($E:$E,ROW()-1)))</f>
        <v>95434251.5958689</v>
      </c>
      <c r="D95" s="5">
        <f>IF(A95&lt;Premissas!$G$10,0,IF(Premissas!$G$13=0,0,Apoio!C95*((1+Premissas!$G$13)^12-1)+Apoio!B95*(((1+Premissas!$G$13)^11-1)/Premissas!$G$13)))</f>
        <v>9589489.0179486983</v>
      </c>
      <c r="E95" s="1">
        <f t="shared" si="7"/>
        <v>105038140.6138176</v>
      </c>
      <c r="F95" s="1">
        <f>IF(A95&lt;Idade_atual,0,Apoio!E95/(1+Inflaçao_anual)^(Apoio!A95-Idade_atual+1))</f>
        <v>6857045.2837727722</v>
      </c>
      <c r="G95" s="1">
        <f t="shared" si="5"/>
        <v>840305.12491054088</v>
      </c>
      <c r="H95" s="1">
        <f t="shared" si="6"/>
        <v>54856.362270182181</v>
      </c>
    </row>
    <row r="96" spans="1:8" x14ac:dyDescent="0.25">
      <c r="A96">
        <v>94</v>
      </c>
      <c r="B96" s="1">
        <f>IF(A96&lt;Premissas!$G$10,0,Premissas!$G$12)</f>
        <v>1200</v>
      </c>
      <c r="C96" s="1">
        <f>IF(A96&lt;Premissas!$G$10,0,IF(Apoio!A96=Premissas!$G$10,Premissas!$G$11,INDEX($E:$E,ROW()-1)))</f>
        <v>105038140.6138176</v>
      </c>
      <c r="D96" s="5">
        <f>IF(A96&lt;Premissas!$G$10,0,IF(Premissas!$G$13=0,0,Apoio!C96*((1+Premissas!$G$13)^12-1)+Apoio!B96*(((1+Premissas!$G$13)^11-1)/Premissas!$G$13)))</f>
        <v>10553130.69660452</v>
      </c>
      <c r="E96" s="1">
        <f t="shared" si="7"/>
        <v>115605671.31042212</v>
      </c>
      <c r="F96" s="1">
        <f>IF(A96&lt;Idade_atual,0,Apoio!E96/(1+Inflaçao_anual)^(Apoio!A96-Idade_atual+1))</f>
        <v>7221922.8022994222</v>
      </c>
      <c r="G96" s="1">
        <f t="shared" si="5"/>
        <v>924845.37048337702</v>
      </c>
      <c r="H96" s="1">
        <f t="shared" si="6"/>
        <v>57775.382418395377</v>
      </c>
    </row>
    <row r="97" spans="1:8" x14ac:dyDescent="0.25">
      <c r="A97">
        <v>95</v>
      </c>
      <c r="B97" s="1">
        <f>IF(A97&lt;Premissas!$G$10,0,Premissas!$G$12)</f>
        <v>1200</v>
      </c>
      <c r="C97" s="1">
        <f>IF(A97&lt;Premissas!$G$10,0,IF(Apoio!A97=Premissas!$G$10,Premissas!$G$11,INDEX($E:$E,ROW()-1)))</f>
        <v>115605671.31042212</v>
      </c>
      <c r="D97" s="5">
        <f>IF(A97&lt;Premissas!$G$10,0,IF(Premissas!$G$13=0,0,Apoio!C97*((1+Premissas!$G$13)^12-1)+Apoio!B97*(((1+Premissas!$G$13)^11-1)/Premissas!$G$13)))</f>
        <v>11613462.922507104</v>
      </c>
      <c r="E97" s="1">
        <f t="shared" si="7"/>
        <v>127233534.23292923</v>
      </c>
      <c r="F97" s="1">
        <f>IF(A97&lt;Idade_atual,0,Apoio!E97/(1+Inflaçao_anual)^(Apoio!A97-Idade_atual+1))</f>
        <v>7606046.9587353319</v>
      </c>
      <c r="G97" s="1">
        <f t="shared" si="5"/>
        <v>1017868.2738634339</v>
      </c>
      <c r="H97" s="1">
        <f t="shared" si="6"/>
        <v>60848.375669882655</v>
      </c>
    </row>
    <row r="98" spans="1:8" x14ac:dyDescent="0.25">
      <c r="A98">
        <v>96</v>
      </c>
      <c r="B98" s="1">
        <f>IF(A98&lt;Premissas!$G$10,0,Premissas!$G$12)</f>
        <v>1200</v>
      </c>
      <c r="C98" s="1">
        <f>IF(A98&lt;Premissas!$G$10,0,IF(Apoio!A98=Premissas!$G$10,Premissas!$G$11,INDEX($E:$E,ROW()-1)))</f>
        <v>127233534.23292923</v>
      </c>
      <c r="D98" s="5">
        <f>IF(A98&lt;Premissas!$G$10,0,IF(Premissas!$G$13=0,0,Apoio!C98*((1+Premissas!$G$13)^12-1)+Apoio!B98*(((1+Premissas!$G$13)^11-1)/Premissas!$G$13)))</f>
        <v>12780187.498861885</v>
      </c>
      <c r="E98" s="1">
        <f t="shared" si="7"/>
        <v>140028121.73179111</v>
      </c>
      <c r="F98" s="1">
        <f>IF(A98&lt;Idade_atual,0,Apoio!E98/(1+Inflaçao_anual)^(Apoio!A98-Idade_atual+1))</f>
        <v>8010440.2319244109</v>
      </c>
      <c r="G98" s="1">
        <f t="shared" si="5"/>
        <v>1120224.973854329</v>
      </c>
      <c r="H98" s="1">
        <f t="shared" si="6"/>
        <v>64083.521855395287</v>
      </c>
    </row>
    <row r="99" spans="1:8" x14ac:dyDescent="0.25">
      <c r="A99">
        <v>97</v>
      </c>
      <c r="B99" s="1">
        <f>IF(A99&lt;Premissas!$G$10,0,Premissas!$G$12)</f>
        <v>1200</v>
      </c>
      <c r="C99" s="1">
        <f>IF(A99&lt;Premissas!$G$10,0,IF(Apoio!A99=Premissas!$G$10,Premissas!$G$11,INDEX($E:$E,ROW()-1)))</f>
        <v>140028121.73179111</v>
      </c>
      <c r="D99" s="5">
        <f>IF(A99&lt;Premissas!$G$10,0,IF(Premissas!$G$13=0,0,Apoio!C99*((1+Premissas!$G$13)^12-1)+Apoio!B99*(((1+Premissas!$G$13)^11-1)/Premissas!$G$13)))</f>
        <v>14063979.69513463</v>
      </c>
      <c r="E99" s="1">
        <f t="shared" si="7"/>
        <v>154106501.42692575</v>
      </c>
      <c r="F99" s="1">
        <f>IF(A99&lt;Idade_atual,0,Apoio!E99/(1+Inflaçao_anual)^(Apoio!A99-Idade_atual+1))</f>
        <v>8436179.1064026877</v>
      </c>
      <c r="G99" s="1">
        <f t="shared" si="5"/>
        <v>1232852.0114154061</v>
      </c>
      <c r="H99" s="1">
        <f t="shared" si="6"/>
        <v>67489.4328512215</v>
      </c>
    </row>
    <row r="100" spans="1:8" x14ac:dyDescent="0.25">
      <c r="A100">
        <v>98</v>
      </c>
      <c r="B100" s="1">
        <f>IF(A100&lt;Premissas!$G$10,0,Premissas!$G$12)</f>
        <v>1200</v>
      </c>
      <c r="C100" s="1">
        <f>IF(A100&lt;Premissas!$G$10,0,IF(Apoio!A100=Premissas!$G$10,Premissas!$G$11,INDEX($E:$E,ROW()-1)))</f>
        <v>154106501.42692575</v>
      </c>
      <c r="D100" s="5">
        <f>IF(A100&lt;Premissas!$G$10,0,IF(Premissas!$G$13=0,0,Apoio!C100*((1+Premissas!$G$13)^12-1)+Apoio!B100*(((1+Premissas!$G$13)^11-1)/Premissas!$G$13)))</f>
        <v>15476585.923384368</v>
      </c>
      <c r="E100" s="1">
        <f t="shared" si="7"/>
        <v>169597487.35031012</v>
      </c>
      <c r="F100" s="1">
        <f>IF(A100&lt;Idade_atual,0,Apoio!E100/(1+Inflaçao_anual)^(Apoio!A100-Idade_atual+1))</f>
        <v>8884396.9383518435</v>
      </c>
      <c r="G100" s="1">
        <f t="shared" si="5"/>
        <v>1356779.8988024809</v>
      </c>
      <c r="H100" s="1">
        <f t="shared" si="6"/>
        <v>71075.175506814747</v>
      </c>
    </row>
    <row r="101" spans="1:8" x14ac:dyDescent="0.25">
      <c r="A101">
        <v>99</v>
      </c>
      <c r="B101" s="1">
        <f>IF(A101&lt;Premissas!$G$10,0,Premissas!$G$12)</f>
        <v>1200</v>
      </c>
      <c r="C101" s="1">
        <f>IF(A101&lt;Premissas!$G$10,0,IF(Apoio!A101=Premissas!$G$10,Premissas!$G$11,INDEX($E:$E,ROW()-1)))</f>
        <v>169597487.35031012</v>
      </c>
      <c r="D101" s="5">
        <f>IF(A101&lt;Premissas!$G$10,0,IF(Premissas!$G$13=0,0,Apoio!C101*((1+Premissas!$G$13)^12-1)+Apoio!B101*(((1+Premissas!$G$13)^11-1)/Premissas!$G$13)))</f>
        <v>17030931.215311978</v>
      </c>
      <c r="E101" s="1">
        <f t="shared" si="7"/>
        <v>186642818.56562209</v>
      </c>
      <c r="F101" s="1">
        <f>IF(A101&lt;Idade_atual,0,Apoio!E101/(1+Inflaçao_anual)^(Apoio!A101-Idade_atual+1))</f>
        <v>9356286.9730610345</v>
      </c>
      <c r="G101" s="1">
        <f t="shared" si="5"/>
        <v>1493142.5485249767</v>
      </c>
      <c r="H101" s="1">
        <f t="shared" si="6"/>
        <v>74850.295784488277</v>
      </c>
    </row>
    <row r="102" spans="1:8" x14ac:dyDescent="0.25">
      <c r="A102">
        <v>100</v>
      </c>
      <c r="B102" s="1">
        <f>IF(A102&lt;Premissas!$G$10,0,Premissas!$G$12)</f>
        <v>1200</v>
      </c>
      <c r="C102" s="1">
        <f>IF(A102&lt;Premissas!$G$10,0,IF(Apoio!A102=Premissas!$G$10,Premissas!$G$11,INDEX($E:$E,ROW()-1)))</f>
        <v>186642818.56562209</v>
      </c>
      <c r="D102" s="5">
        <f>IF(A102&lt;Premissas!$G$10,0,IF(Premissas!$G$13=0,0,Apoio!C102*((1+Premissas!$G$13)^12-1)+Apoio!B102*(((1+Premissas!$G$13)^11-1)/Premissas!$G$13)))</f>
        <v>18741237.483415447</v>
      </c>
      <c r="E102" s="1">
        <f t="shared" si="7"/>
        <v>205398456.04903755</v>
      </c>
      <c r="F102" s="1">
        <f>IF(A102&lt;Idade_atual,0,Apoio!E102/(1+Inflaçao_anual)^(Apoio!A102-Idade_atual+1))</f>
        <v>9853105.5219313409</v>
      </c>
      <c r="G102" s="1">
        <f t="shared" si="5"/>
        <v>1643187.6483923004</v>
      </c>
      <c r="H102" s="1">
        <f t="shared" si="6"/>
        <v>78824.844175450722</v>
      </c>
    </row>
    <row r="104" spans="1:8" x14ac:dyDescent="0.25">
      <c r="B104" s="2"/>
      <c r="C104" s="3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12</vt:i4>
      </vt:variant>
    </vt:vector>
  </HeadingPairs>
  <TitlesOfParts>
    <vt:vector size="14" baseType="lpstr">
      <vt:lpstr>Premissas</vt:lpstr>
      <vt:lpstr>Apoio</vt:lpstr>
      <vt:lpstr>Aporte_mensal</vt:lpstr>
      <vt:lpstr>DY_mensal</vt:lpstr>
      <vt:lpstr>Idade</vt:lpstr>
      <vt:lpstr>Idade_atual</vt:lpstr>
      <vt:lpstr>Idade_liberdade</vt:lpstr>
      <vt:lpstr>Idade3</vt:lpstr>
      <vt:lpstr>Inflaçao_anual</vt:lpstr>
      <vt:lpstr>Patrimonio_inicial</vt:lpstr>
      <vt:lpstr>Patrimônio_inicial</vt:lpstr>
      <vt:lpstr>Rendimentos</vt:lpstr>
      <vt:lpstr>Rentabilidade_desejada</vt:lpstr>
      <vt:lpstr>Rentabilidade_mensal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YVR</dc:creator>
  <cp:lastModifiedBy>YVR</cp:lastModifiedBy>
  <dcterms:created xsi:type="dcterms:W3CDTF">2015-06-05T18:19:34Z</dcterms:created>
  <dcterms:modified xsi:type="dcterms:W3CDTF">2026-08-28T17:26:57Z</dcterms:modified>
</cp:coreProperties>
</file>